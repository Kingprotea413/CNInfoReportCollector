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wangshan/Library/Mobile Documents/com~apple~CloudDocs/DELL_上市公司财务报表/2023YE/"/>
    </mc:Choice>
  </mc:AlternateContent>
  <xr:revisionPtr revIDLastSave="0" documentId="8_{06446822-C716-5941-B670-7F9AD0E9BC10}" xr6:coauthVersionLast="47" xr6:coauthVersionMax="47" xr10:uidLastSave="{00000000-0000-0000-0000-000000000000}"/>
  <bookViews>
    <workbookView xWindow="0" yWindow="520" windowWidth="22940" windowHeight="14380" xr2:uid="{00000000-000D-0000-FFFF-FFFF00000000}"/>
  </bookViews>
  <sheets>
    <sheet name="工业富联资产负债表" sheetId="1" r:id="rId1"/>
    <sheet name="工业富联利润表" sheetId="3" r:id="rId2"/>
    <sheet name="工业富联现金流量表" sheetId="2" r:id="rId3"/>
    <sheet name="工业富联资产负债变动表" sheetId="4" r:id="rId4"/>
    <sheet name="罗杰斯分析表" sheetId="16" r:id="rId5"/>
    <sheet name="工业富联资产负债变动明细表" sheetId="5" r:id="rId6"/>
    <sheet name="资产变化路径表7年" sheetId="6" r:id="rId7"/>
    <sheet name="资产变化路径表5年" sheetId="7" r:id="rId8"/>
    <sheet name="资产变化路径表-亿元7年" sheetId="8" r:id="rId9"/>
    <sheet name="资产变化路径表-亿元5年" sheetId="9" r:id="rId10"/>
    <sheet name="资产变化路径表 (2023)-亿元" sheetId="10" r:id="rId11"/>
    <sheet name="资产变化路径表 (2022)-亿元" sheetId="11" r:id="rId12"/>
    <sheet name="资产变化路径表 (2021)-亿元" sheetId="15" r:id="rId13"/>
    <sheet name="总结 " sheetId="12" r:id="rId14"/>
    <sheet name="工业富联东财年度指标" sheetId="13" r:id="rId15"/>
    <sheet name="东财季度指标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2" l="1"/>
  <c r="B11" i="7" l="1"/>
  <c r="B11" i="6"/>
  <c r="D27" i="7"/>
  <c r="B27" i="7"/>
  <c r="D26" i="7"/>
  <c r="B26" i="7"/>
  <c r="D25" i="7"/>
  <c r="B25" i="7"/>
  <c r="D24" i="7"/>
  <c r="B24" i="7"/>
  <c r="D27" i="6"/>
  <c r="B27" i="6"/>
  <c r="D26" i="6"/>
  <c r="B26" i="6"/>
  <c r="F7" i="12" s="1"/>
  <c r="D25" i="6"/>
  <c r="B25" i="6"/>
  <c r="D24" i="6"/>
  <c r="B24" i="6"/>
  <c r="F6" i="12"/>
  <c r="D8" i="12"/>
  <c r="D7" i="12"/>
  <c r="D6" i="12"/>
  <c r="D26" i="16" l="1"/>
  <c r="E26" i="16"/>
  <c r="F26" i="16"/>
  <c r="G26" i="16"/>
  <c r="H26" i="16"/>
  <c r="I26" i="16"/>
  <c r="D27" i="16"/>
  <c r="E27" i="16"/>
  <c r="F27" i="16"/>
  <c r="G27" i="16"/>
  <c r="H27" i="16"/>
  <c r="I27" i="16"/>
  <c r="C27" i="16"/>
  <c r="C31" i="16" s="1"/>
  <c r="C26" i="16"/>
  <c r="F29" i="16"/>
  <c r="G29" i="16"/>
  <c r="H29" i="16"/>
  <c r="E29" i="16"/>
  <c r="D29" i="16"/>
  <c r="C29" i="16"/>
  <c r="I62" i="16"/>
  <c r="H62" i="16"/>
  <c r="G62" i="16"/>
  <c r="F62" i="16"/>
  <c r="E62" i="16"/>
  <c r="D62" i="16"/>
  <c r="C62" i="16"/>
  <c r="H49" i="16"/>
  <c r="H51" i="16" s="1"/>
  <c r="G49" i="16"/>
  <c r="G51" i="16" s="1"/>
  <c r="F49" i="16"/>
  <c r="F51" i="16" s="1"/>
  <c r="E49" i="16"/>
  <c r="E51" i="16" s="1"/>
  <c r="D49" i="16"/>
  <c r="D51" i="16" s="1"/>
  <c r="C49" i="16"/>
  <c r="C51" i="16" s="1"/>
  <c r="I48" i="16"/>
  <c r="H48" i="16"/>
  <c r="G48" i="16"/>
  <c r="F48" i="16"/>
  <c r="E48" i="16"/>
  <c r="D48" i="16"/>
  <c r="C48" i="16"/>
  <c r="I45" i="16"/>
  <c r="H45" i="16"/>
  <c r="G45" i="16"/>
  <c r="F45" i="16"/>
  <c r="E45" i="16"/>
  <c r="D45" i="16"/>
  <c r="C45" i="16"/>
  <c r="I44" i="16"/>
  <c r="H44" i="16"/>
  <c r="G44" i="16"/>
  <c r="F44" i="16"/>
  <c r="E44" i="16"/>
  <c r="D44" i="16"/>
  <c r="C44" i="16"/>
  <c r="I42" i="16"/>
  <c r="H42" i="16"/>
  <c r="G42" i="16"/>
  <c r="F42" i="16"/>
  <c r="E42" i="16"/>
  <c r="D42" i="16"/>
  <c r="C42" i="16"/>
  <c r="I41" i="16"/>
  <c r="H41" i="16"/>
  <c r="G41" i="16"/>
  <c r="F41" i="16"/>
  <c r="E41" i="16"/>
  <c r="D41" i="16"/>
  <c r="C41" i="16"/>
  <c r="I40" i="16"/>
  <c r="H40" i="16"/>
  <c r="G40" i="16"/>
  <c r="F40" i="16"/>
  <c r="E40" i="16"/>
  <c r="D40" i="16"/>
  <c r="C40" i="16"/>
  <c r="I36" i="16"/>
  <c r="I35" i="16" s="1"/>
  <c r="H36" i="16"/>
  <c r="G36" i="16"/>
  <c r="F36" i="16"/>
  <c r="E36" i="16"/>
  <c r="D36" i="16"/>
  <c r="C36" i="16"/>
  <c r="I25" i="16"/>
  <c r="I30" i="16" s="1"/>
  <c r="H25" i="16"/>
  <c r="G25" i="16"/>
  <c r="F25" i="16"/>
  <c r="E25" i="16"/>
  <c r="D25" i="16"/>
  <c r="C25" i="16"/>
  <c r="I24" i="16"/>
  <c r="H24" i="16"/>
  <c r="G24" i="16"/>
  <c r="F24" i="16"/>
  <c r="E24" i="16"/>
  <c r="D24" i="16"/>
  <c r="C24" i="16"/>
  <c r="I21" i="16"/>
  <c r="H21" i="16"/>
  <c r="G21" i="16"/>
  <c r="F21" i="16"/>
  <c r="E21" i="16"/>
  <c r="D21" i="16"/>
  <c r="C21" i="16"/>
  <c r="I18" i="16"/>
  <c r="H18" i="16"/>
  <c r="G18" i="16"/>
  <c r="F18" i="16"/>
  <c r="E18" i="16"/>
  <c r="D18" i="16"/>
  <c r="C18" i="16"/>
  <c r="I16" i="16"/>
  <c r="H16" i="16"/>
  <c r="G16" i="16"/>
  <c r="F16" i="16"/>
  <c r="E16" i="16"/>
  <c r="D16" i="16"/>
  <c r="C16" i="16"/>
  <c r="I14" i="16"/>
  <c r="H14" i="16"/>
  <c r="G14" i="16"/>
  <c r="F14" i="16"/>
  <c r="E14" i="16"/>
  <c r="D14" i="16"/>
  <c r="C14" i="16"/>
  <c r="I13" i="16"/>
  <c r="H13" i="16"/>
  <c r="G13" i="16"/>
  <c r="F13" i="16"/>
  <c r="E13" i="16"/>
  <c r="D13" i="16"/>
  <c r="C13" i="16"/>
  <c r="I11" i="16"/>
  <c r="H11" i="16"/>
  <c r="G11" i="16"/>
  <c r="F11" i="16"/>
  <c r="E11" i="16"/>
  <c r="D11" i="16"/>
  <c r="C11" i="16"/>
  <c r="I9" i="16"/>
  <c r="H9" i="16"/>
  <c r="G9" i="16"/>
  <c r="F9" i="16"/>
  <c r="E9" i="16"/>
  <c r="D9" i="16"/>
  <c r="C9" i="16"/>
  <c r="I6" i="16"/>
  <c r="H6" i="16"/>
  <c r="G6" i="16"/>
  <c r="F6" i="16"/>
  <c r="E6" i="16"/>
  <c r="D6" i="16"/>
  <c r="C6" i="16"/>
  <c r="I4" i="16"/>
  <c r="H4" i="16"/>
  <c r="G4" i="16"/>
  <c r="F4" i="16"/>
  <c r="E4" i="16"/>
  <c r="D4" i="16"/>
  <c r="C4" i="16"/>
  <c r="I3" i="16"/>
  <c r="H3" i="16"/>
  <c r="G3" i="16"/>
  <c r="F3" i="16"/>
  <c r="E3" i="16"/>
  <c r="D3" i="16"/>
  <c r="C3" i="16"/>
  <c r="I2" i="16"/>
  <c r="H2" i="16"/>
  <c r="G2" i="16"/>
  <c r="F2" i="16"/>
  <c r="E2" i="16"/>
  <c r="D2" i="16"/>
  <c r="C2" i="16"/>
  <c r="I1" i="16"/>
  <c r="H1" i="16"/>
  <c r="G1" i="16"/>
  <c r="F1" i="16"/>
  <c r="E1" i="16"/>
  <c r="D1" i="16"/>
  <c r="C1" i="16"/>
  <c r="A1" i="16"/>
  <c r="H9" i="12"/>
  <c r="H3" i="12"/>
  <c r="P104" i="1"/>
  <c r="O104" i="1"/>
  <c r="N104" i="1"/>
  <c r="M104" i="1"/>
  <c r="L104" i="1"/>
  <c r="K104" i="1"/>
  <c r="J104" i="1"/>
  <c r="G104" i="1"/>
  <c r="C104" i="1"/>
  <c r="B104" i="1"/>
  <c r="P103" i="1"/>
  <c r="O103" i="1"/>
  <c r="N103" i="1"/>
  <c r="M103" i="1"/>
  <c r="L103" i="1"/>
  <c r="K103" i="1"/>
  <c r="J103" i="1"/>
  <c r="G103" i="1"/>
  <c r="C103" i="1"/>
  <c r="B103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P100" i="1"/>
  <c r="O100" i="1"/>
  <c r="H121" i="4" s="1"/>
  <c r="N100" i="1"/>
  <c r="G121" i="4" s="1"/>
  <c r="M100" i="1"/>
  <c r="I100" i="1"/>
  <c r="H100" i="1"/>
  <c r="G100" i="1"/>
  <c r="C121" i="4" s="1"/>
  <c r="F100" i="1"/>
  <c r="E100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P98" i="1"/>
  <c r="O98" i="1"/>
  <c r="N98" i="1"/>
  <c r="M98" i="1"/>
  <c r="L98" i="1"/>
  <c r="L100" i="1" s="1"/>
  <c r="E121" i="4" s="1"/>
  <c r="K98" i="1"/>
  <c r="K100" i="1" s="1"/>
  <c r="D121" i="4" s="1"/>
  <c r="J98" i="1"/>
  <c r="J100" i="1" s="1"/>
  <c r="I98" i="1"/>
  <c r="H98" i="1"/>
  <c r="G98" i="1"/>
  <c r="F98" i="1"/>
  <c r="E98" i="1"/>
  <c r="D98" i="1"/>
  <c r="D100" i="1" s="1"/>
  <c r="C98" i="1"/>
  <c r="C100" i="1" s="1"/>
  <c r="B121" i="4" s="1"/>
  <c r="B98" i="1"/>
  <c r="B100" i="1" s="1"/>
  <c r="D11" i="12" s="1"/>
  <c r="H11" i="12" s="1"/>
  <c r="P97" i="1"/>
  <c r="O97" i="1"/>
  <c r="N97" i="1"/>
  <c r="M97" i="1"/>
  <c r="L97" i="1"/>
  <c r="E129" i="4" s="1"/>
  <c r="K97" i="1"/>
  <c r="D129" i="4" s="1"/>
  <c r="J97" i="1"/>
  <c r="I97" i="1"/>
  <c r="H97" i="1"/>
  <c r="G97" i="1"/>
  <c r="F97" i="1"/>
  <c r="E97" i="1"/>
  <c r="D97" i="1"/>
  <c r="C97" i="1"/>
  <c r="B129" i="4" s="1"/>
  <c r="B97" i="1"/>
  <c r="B37" i="7" s="1"/>
  <c r="B35" i="1"/>
  <c r="D43" i="12"/>
  <c r="D4" i="12"/>
  <c r="C62" i="1"/>
  <c r="C51" i="1"/>
  <c r="K51" i="1"/>
  <c r="G51" i="1"/>
  <c r="Q68" i="1"/>
  <c r="C26" i="1"/>
  <c r="C56" i="1"/>
  <c r="K26" i="1"/>
  <c r="G26" i="1"/>
  <c r="K56" i="1"/>
  <c r="G56" i="1"/>
  <c r="B106" i="4"/>
  <c r="D24" i="12"/>
  <c r="D12" i="12"/>
  <c r="H12" i="12" s="1"/>
  <c r="D10" i="12"/>
  <c r="H10" i="12" s="1"/>
  <c r="D9" i="12"/>
  <c r="E16" i="15"/>
  <c r="B16" i="15"/>
  <c r="B15" i="15"/>
  <c r="E14" i="15"/>
  <c r="G14" i="15" s="1"/>
  <c r="B14" i="15"/>
  <c r="B13" i="15"/>
  <c r="G12" i="15"/>
  <c r="B12" i="15"/>
  <c r="G11" i="15"/>
  <c r="H11" i="15" s="1"/>
  <c r="B11" i="15"/>
  <c r="G10" i="15"/>
  <c r="E19" i="15" s="1"/>
  <c r="E20" i="15" s="1"/>
  <c r="B10" i="15"/>
  <c r="E9" i="15"/>
  <c r="B9" i="15"/>
  <c r="E8" i="15"/>
  <c r="B8" i="15"/>
  <c r="E7" i="15"/>
  <c r="B7" i="15"/>
  <c r="B5" i="15"/>
  <c r="B4" i="15"/>
  <c r="E3" i="15"/>
  <c r="B3" i="15"/>
  <c r="E2" i="15"/>
  <c r="D37" i="7"/>
  <c r="D35" i="7"/>
  <c r="B35" i="7"/>
  <c r="D34" i="7"/>
  <c r="B34" i="7"/>
  <c r="D29" i="7"/>
  <c r="B29" i="7"/>
  <c r="D28" i="7"/>
  <c r="B28" i="7"/>
  <c r="D38" i="7"/>
  <c r="B38" i="7"/>
  <c r="G6" i="7"/>
  <c r="D37" i="6"/>
  <c r="D35" i="6"/>
  <c r="B35" i="6"/>
  <c r="D29" i="6"/>
  <c r="B29" i="6"/>
  <c r="D28" i="6"/>
  <c r="B28" i="6"/>
  <c r="D38" i="6"/>
  <c r="B38" i="6"/>
  <c r="D34" i="6"/>
  <c r="B34" i="6"/>
  <c r="G6" i="6"/>
  <c r="H137" i="4"/>
  <c r="G137" i="4"/>
  <c r="F137" i="4"/>
  <c r="E137" i="4"/>
  <c r="D137" i="4"/>
  <c r="C137" i="4"/>
  <c r="B137" i="4"/>
  <c r="H136" i="4"/>
  <c r="G136" i="4"/>
  <c r="F136" i="4"/>
  <c r="E136" i="4"/>
  <c r="D136" i="4"/>
  <c r="C136" i="4"/>
  <c r="B136" i="4"/>
  <c r="H135" i="4"/>
  <c r="G135" i="4"/>
  <c r="F135" i="4"/>
  <c r="E135" i="4"/>
  <c r="D135" i="4"/>
  <c r="C135" i="4"/>
  <c r="B135" i="4"/>
  <c r="H134" i="4"/>
  <c r="G134" i="4"/>
  <c r="F134" i="4"/>
  <c r="E134" i="4"/>
  <c r="D134" i="4"/>
  <c r="C134" i="4"/>
  <c r="B134" i="4"/>
  <c r="H132" i="4"/>
  <c r="G132" i="4"/>
  <c r="F132" i="4"/>
  <c r="E132" i="4"/>
  <c r="D132" i="4"/>
  <c r="C132" i="4"/>
  <c r="B132" i="4"/>
  <c r="H131" i="4"/>
  <c r="G131" i="4"/>
  <c r="F131" i="4"/>
  <c r="E131" i="4"/>
  <c r="D131" i="4"/>
  <c r="C131" i="4"/>
  <c r="B131" i="4"/>
  <c r="H130" i="4"/>
  <c r="G130" i="4"/>
  <c r="F130" i="4"/>
  <c r="E130" i="4"/>
  <c r="D130" i="4"/>
  <c r="C130" i="4"/>
  <c r="B130" i="4"/>
  <c r="H129" i="4"/>
  <c r="G129" i="4"/>
  <c r="F129" i="4"/>
  <c r="C129" i="4"/>
  <c r="H123" i="4"/>
  <c r="G123" i="4"/>
  <c r="F123" i="4"/>
  <c r="E123" i="4"/>
  <c r="D123" i="4"/>
  <c r="C123" i="4"/>
  <c r="B123" i="4"/>
  <c r="H122" i="4"/>
  <c r="G122" i="4"/>
  <c r="F122" i="4"/>
  <c r="E122" i="4"/>
  <c r="D122" i="4"/>
  <c r="C122" i="4"/>
  <c r="B122" i="4"/>
  <c r="F121" i="4"/>
  <c r="H120" i="4"/>
  <c r="G120" i="4"/>
  <c r="F120" i="4"/>
  <c r="E120" i="4"/>
  <c r="D120" i="4"/>
  <c r="C120" i="4"/>
  <c r="B120" i="4"/>
  <c r="H119" i="4"/>
  <c r="G119" i="4"/>
  <c r="F119" i="4"/>
  <c r="E119" i="4"/>
  <c r="D119" i="4"/>
  <c r="C119" i="4"/>
  <c r="B119" i="4"/>
  <c r="H118" i="4"/>
  <c r="G118" i="4"/>
  <c r="F118" i="4"/>
  <c r="E118" i="4"/>
  <c r="D118" i="4"/>
  <c r="C118" i="4"/>
  <c r="B118" i="4"/>
  <c r="H117" i="4"/>
  <c r="G117" i="4"/>
  <c r="F117" i="4"/>
  <c r="E117" i="4"/>
  <c r="D117" i="4"/>
  <c r="C117" i="4"/>
  <c r="B117" i="4"/>
  <c r="H113" i="4"/>
  <c r="G113" i="4"/>
  <c r="F113" i="4"/>
  <c r="E113" i="4"/>
  <c r="D113" i="4"/>
  <c r="C113" i="4"/>
  <c r="B113" i="4"/>
  <c r="H112" i="4"/>
  <c r="G112" i="4"/>
  <c r="F112" i="4"/>
  <c r="E112" i="4"/>
  <c r="D112" i="4"/>
  <c r="C112" i="4"/>
  <c r="B112" i="4"/>
  <c r="H105" i="4"/>
  <c r="G105" i="4"/>
  <c r="F105" i="4"/>
  <c r="E105" i="4"/>
  <c r="D105" i="4"/>
  <c r="C105" i="4"/>
  <c r="B105" i="4"/>
  <c r="H95" i="4"/>
  <c r="G95" i="4"/>
  <c r="F95" i="4"/>
  <c r="E95" i="4"/>
  <c r="D95" i="4"/>
  <c r="C95" i="4"/>
  <c r="B95" i="4"/>
  <c r="H94" i="4"/>
  <c r="G94" i="4"/>
  <c r="F94" i="4"/>
  <c r="E94" i="4"/>
  <c r="D94" i="4"/>
  <c r="C94" i="4"/>
  <c r="B94" i="4"/>
  <c r="H93" i="4"/>
  <c r="G93" i="4"/>
  <c r="F93" i="4"/>
  <c r="E93" i="4"/>
  <c r="D93" i="4"/>
  <c r="C93" i="4"/>
  <c r="B93" i="4"/>
  <c r="H92" i="4"/>
  <c r="G92" i="4"/>
  <c r="F92" i="4"/>
  <c r="E92" i="4"/>
  <c r="D92" i="4"/>
  <c r="C92" i="4"/>
  <c r="B92" i="4"/>
  <c r="H91" i="4"/>
  <c r="G91" i="4"/>
  <c r="F91" i="4"/>
  <c r="E91" i="4"/>
  <c r="D91" i="4"/>
  <c r="C91" i="4"/>
  <c r="B91" i="4"/>
  <c r="H90" i="4"/>
  <c r="G90" i="4"/>
  <c r="F90" i="4"/>
  <c r="E90" i="4"/>
  <c r="D90" i="4"/>
  <c r="C90" i="4"/>
  <c r="B90" i="4"/>
  <c r="H89" i="4"/>
  <c r="G89" i="4"/>
  <c r="F89" i="4"/>
  <c r="E89" i="4"/>
  <c r="D89" i="4"/>
  <c r="C89" i="4"/>
  <c r="B89" i="4"/>
  <c r="H88" i="4"/>
  <c r="G88" i="4"/>
  <c r="F88" i="4"/>
  <c r="E88" i="4"/>
  <c r="D88" i="4"/>
  <c r="C88" i="4"/>
  <c r="B88" i="4"/>
  <c r="H87" i="4"/>
  <c r="G87" i="4"/>
  <c r="F87" i="4"/>
  <c r="E87" i="4"/>
  <c r="D87" i="4"/>
  <c r="C87" i="4"/>
  <c r="B87" i="4"/>
  <c r="H86" i="4"/>
  <c r="G86" i="4"/>
  <c r="F86" i="4"/>
  <c r="E86" i="4"/>
  <c r="D86" i="4"/>
  <c r="C86" i="4"/>
  <c r="B86" i="4"/>
  <c r="H85" i="4"/>
  <c r="G85" i="4"/>
  <c r="F85" i="4"/>
  <c r="E85" i="4"/>
  <c r="D85" i="4"/>
  <c r="C85" i="4"/>
  <c r="B85" i="4"/>
  <c r="H84" i="4"/>
  <c r="G84" i="4"/>
  <c r="F84" i="4"/>
  <c r="E84" i="4"/>
  <c r="D84" i="4"/>
  <c r="C84" i="4"/>
  <c r="B84" i="4"/>
  <c r="H83" i="4"/>
  <c r="G83" i="4"/>
  <c r="F83" i="4"/>
  <c r="E83" i="4"/>
  <c r="D83" i="4"/>
  <c r="C83" i="4"/>
  <c r="B83" i="4"/>
  <c r="H82" i="4"/>
  <c r="G82" i="4"/>
  <c r="F82" i="4"/>
  <c r="E82" i="4"/>
  <c r="D82" i="4"/>
  <c r="C82" i="4"/>
  <c r="B82" i="4"/>
  <c r="H81" i="4"/>
  <c r="G81" i="4"/>
  <c r="F81" i="4"/>
  <c r="E81" i="4"/>
  <c r="D81" i="4"/>
  <c r="C81" i="4"/>
  <c r="B81" i="4"/>
  <c r="H80" i="4"/>
  <c r="G80" i="4"/>
  <c r="F80" i="4"/>
  <c r="E80" i="4"/>
  <c r="D80" i="4"/>
  <c r="C80" i="4"/>
  <c r="B80" i="4"/>
  <c r="H79" i="4"/>
  <c r="G79" i="4"/>
  <c r="F79" i="4"/>
  <c r="E79" i="4"/>
  <c r="D79" i="4"/>
  <c r="C79" i="4"/>
  <c r="B79" i="4"/>
  <c r="H78" i="4"/>
  <c r="G78" i="4"/>
  <c r="F78" i="4"/>
  <c r="E78" i="4"/>
  <c r="D78" i="4"/>
  <c r="C78" i="4"/>
  <c r="B78" i="4"/>
  <c r="H77" i="4"/>
  <c r="G77" i="4"/>
  <c r="F77" i="4"/>
  <c r="E77" i="4"/>
  <c r="D77" i="4"/>
  <c r="C77" i="4"/>
  <c r="B77" i="4"/>
  <c r="H76" i="4"/>
  <c r="G76" i="4"/>
  <c r="F76" i="4"/>
  <c r="E76" i="4"/>
  <c r="D76" i="4"/>
  <c r="C76" i="4"/>
  <c r="B76" i="4"/>
  <c r="H75" i="4"/>
  <c r="G75" i="4"/>
  <c r="F75" i="4"/>
  <c r="E75" i="4"/>
  <c r="D75" i="4"/>
  <c r="C75" i="4"/>
  <c r="B75" i="4"/>
  <c r="H74" i="4"/>
  <c r="G74" i="4"/>
  <c r="F74" i="4"/>
  <c r="E74" i="4"/>
  <c r="D74" i="4"/>
  <c r="C74" i="4"/>
  <c r="B74" i="4"/>
  <c r="H73" i="4"/>
  <c r="G73" i="4"/>
  <c r="F73" i="4"/>
  <c r="E73" i="4"/>
  <c r="D73" i="4"/>
  <c r="C73" i="4"/>
  <c r="B73" i="4"/>
  <c r="H72" i="4"/>
  <c r="G72" i="4"/>
  <c r="F72" i="4"/>
  <c r="E72" i="4"/>
  <c r="D72" i="4"/>
  <c r="C72" i="4"/>
  <c r="B72" i="4"/>
  <c r="H71" i="4"/>
  <c r="G71" i="4"/>
  <c r="F71" i="4"/>
  <c r="E71" i="4"/>
  <c r="D71" i="4"/>
  <c r="C71" i="4"/>
  <c r="B71" i="4"/>
  <c r="H70" i="4"/>
  <c r="G70" i="4"/>
  <c r="F70" i="4"/>
  <c r="E70" i="4"/>
  <c r="D70" i="4"/>
  <c r="C70" i="4"/>
  <c r="B70" i="4"/>
  <c r="H69" i="4"/>
  <c r="G69" i="4"/>
  <c r="F69" i="4"/>
  <c r="E69" i="4"/>
  <c r="D69" i="4"/>
  <c r="C69" i="4"/>
  <c r="B69" i="4"/>
  <c r="H68" i="4"/>
  <c r="G68" i="4"/>
  <c r="F68" i="4"/>
  <c r="E68" i="4"/>
  <c r="D68" i="4"/>
  <c r="C68" i="4"/>
  <c r="B68" i="4"/>
  <c r="H67" i="4"/>
  <c r="G67" i="4"/>
  <c r="F67" i="4"/>
  <c r="E67" i="4"/>
  <c r="D67" i="4"/>
  <c r="C67" i="4"/>
  <c r="B67" i="4"/>
  <c r="H66" i="4"/>
  <c r="G66" i="4"/>
  <c r="F66" i="4"/>
  <c r="E66" i="4"/>
  <c r="D66" i="4"/>
  <c r="C66" i="4"/>
  <c r="B66" i="4"/>
  <c r="H65" i="4"/>
  <c r="G65" i="4"/>
  <c r="F65" i="4"/>
  <c r="E65" i="4"/>
  <c r="D65" i="4"/>
  <c r="C65" i="4"/>
  <c r="B65" i="4"/>
  <c r="H64" i="4"/>
  <c r="G64" i="4"/>
  <c r="F64" i="4"/>
  <c r="E64" i="4"/>
  <c r="D64" i="4"/>
  <c r="C64" i="4"/>
  <c r="B64" i="4"/>
  <c r="H63" i="4"/>
  <c r="G63" i="4"/>
  <c r="F63" i="4"/>
  <c r="E63" i="4"/>
  <c r="D63" i="4"/>
  <c r="C63" i="4"/>
  <c r="B63" i="4"/>
  <c r="H62" i="4"/>
  <c r="G62" i="4"/>
  <c r="F62" i="4"/>
  <c r="E62" i="4"/>
  <c r="D62" i="4"/>
  <c r="C62" i="4"/>
  <c r="B62" i="4"/>
  <c r="H61" i="4"/>
  <c r="G61" i="4"/>
  <c r="F61" i="4"/>
  <c r="E61" i="4"/>
  <c r="D61" i="4"/>
  <c r="C61" i="4"/>
  <c r="B61" i="4"/>
  <c r="H60" i="4"/>
  <c r="G60" i="4"/>
  <c r="F60" i="4"/>
  <c r="E60" i="4"/>
  <c r="D60" i="4"/>
  <c r="C60" i="4"/>
  <c r="B60" i="4"/>
  <c r="H59" i="4"/>
  <c r="G59" i="4"/>
  <c r="F59" i="4"/>
  <c r="E59" i="4"/>
  <c r="D59" i="4"/>
  <c r="C59" i="4"/>
  <c r="B59" i="4"/>
  <c r="H58" i="4"/>
  <c r="G58" i="4"/>
  <c r="F58" i="4"/>
  <c r="E58" i="4"/>
  <c r="D58" i="4"/>
  <c r="C58" i="4"/>
  <c r="B58" i="4"/>
  <c r="H57" i="4"/>
  <c r="G57" i="4"/>
  <c r="F57" i="4"/>
  <c r="E57" i="4"/>
  <c r="D57" i="4"/>
  <c r="C57" i="4"/>
  <c r="B57" i="4"/>
  <c r="H56" i="4"/>
  <c r="G56" i="4"/>
  <c r="F56" i="4"/>
  <c r="E56" i="4"/>
  <c r="D56" i="4"/>
  <c r="C56" i="4"/>
  <c r="B56" i="4"/>
  <c r="H55" i="4"/>
  <c r="G55" i="4"/>
  <c r="F55" i="4"/>
  <c r="E55" i="4"/>
  <c r="D55" i="4"/>
  <c r="C55" i="4"/>
  <c r="B55" i="4"/>
  <c r="H54" i="4"/>
  <c r="G54" i="4"/>
  <c r="F54" i="4"/>
  <c r="E54" i="4"/>
  <c r="D54" i="4"/>
  <c r="C54" i="4"/>
  <c r="B54" i="4"/>
  <c r="H53" i="4"/>
  <c r="G53" i="4"/>
  <c r="F53" i="4"/>
  <c r="E53" i="4"/>
  <c r="D53" i="4"/>
  <c r="C53" i="4"/>
  <c r="B53" i="4"/>
  <c r="H52" i="4"/>
  <c r="G52" i="4"/>
  <c r="F52" i="4"/>
  <c r="E52" i="4"/>
  <c r="D52" i="4"/>
  <c r="C52" i="4"/>
  <c r="B52" i="4"/>
  <c r="H51" i="4"/>
  <c r="G51" i="4"/>
  <c r="F51" i="4"/>
  <c r="E51" i="4"/>
  <c r="D51" i="4"/>
  <c r="C51" i="4"/>
  <c r="B51" i="4"/>
  <c r="H50" i="4"/>
  <c r="G50" i="4"/>
  <c r="F50" i="4"/>
  <c r="E50" i="4"/>
  <c r="D50" i="4"/>
  <c r="C50" i="4"/>
  <c r="B50" i="4"/>
  <c r="H49" i="4"/>
  <c r="G49" i="4"/>
  <c r="F49" i="4"/>
  <c r="E49" i="4"/>
  <c r="D49" i="4"/>
  <c r="C49" i="4"/>
  <c r="B49" i="4"/>
  <c r="H48" i="4"/>
  <c r="G48" i="4"/>
  <c r="F48" i="4"/>
  <c r="E48" i="4"/>
  <c r="D48" i="4"/>
  <c r="C48" i="4"/>
  <c r="B48" i="4"/>
  <c r="H47" i="4"/>
  <c r="G47" i="4"/>
  <c r="F47" i="4"/>
  <c r="E47" i="4"/>
  <c r="D47" i="4"/>
  <c r="C47" i="4"/>
  <c r="B47" i="4"/>
  <c r="H46" i="4"/>
  <c r="G46" i="4"/>
  <c r="F46" i="4"/>
  <c r="E46" i="4"/>
  <c r="D46" i="4"/>
  <c r="C46" i="4"/>
  <c r="B46" i="4"/>
  <c r="H45" i="4"/>
  <c r="G45" i="4"/>
  <c r="F45" i="4"/>
  <c r="E45" i="4"/>
  <c r="D45" i="4"/>
  <c r="C45" i="4"/>
  <c r="B45" i="4"/>
  <c r="H44" i="4"/>
  <c r="G44" i="4"/>
  <c r="F44" i="4"/>
  <c r="E44" i="4"/>
  <c r="D44" i="4"/>
  <c r="C44" i="4"/>
  <c r="B44" i="4"/>
  <c r="H43" i="4"/>
  <c r="G43" i="4"/>
  <c r="F43" i="4"/>
  <c r="E43" i="4"/>
  <c r="D43" i="4"/>
  <c r="C43" i="4"/>
  <c r="B43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40" i="4"/>
  <c r="G40" i="4"/>
  <c r="F40" i="4"/>
  <c r="E40" i="4"/>
  <c r="D40" i="4"/>
  <c r="C40" i="4"/>
  <c r="B40" i="4"/>
  <c r="H39" i="4"/>
  <c r="G39" i="4"/>
  <c r="F39" i="4"/>
  <c r="E39" i="4"/>
  <c r="D39" i="4"/>
  <c r="C39" i="4"/>
  <c r="B39" i="4"/>
  <c r="H38" i="4"/>
  <c r="G38" i="4"/>
  <c r="F38" i="4"/>
  <c r="E38" i="4"/>
  <c r="D38" i="4"/>
  <c r="C38" i="4"/>
  <c r="B38" i="4"/>
  <c r="H37" i="4"/>
  <c r="G37" i="4"/>
  <c r="F37" i="4"/>
  <c r="E37" i="4"/>
  <c r="D37" i="4"/>
  <c r="C37" i="4"/>
  <c r="B37" i="4"/>
  <c r="H36" i="4"/>
  <c r="G36" i="4"/>
  <c r="F36" i="4"/>
  <c r="E36" i="4"/>
  <c r="D36" i="4"/>
  <c r="C36" i="4"/>
  <c r="B36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8" i="4"/>
  <c r="G28" i="4"/>
  <c r="F28" i="4"/>
  <c r="E28" i="4"/>
  <c r="D28" i="4"/>
  <c r="C28" i="4"/>
  <c r="B28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9" i="4"/>
  <c r="G9" i="4"/>
  <c r="F9" i="4"/>
  <c r="E9" i="4"/>
  <c r="D9" i="4"/>
  <c r="C9" i="4"/>
  <c r="B9" i="4"/>
  <c r="H8" i="4"/>
  <c r="G8" i="4"/>
  <c r="F8" i="4"/>
  <c r="E8" i="4"/>
  <c r="D8" i="4"/>
  <c r="C8" i="4"/>
  <c r="B8" i="4"/>
  <c r="H7" i="4"/>
  <c r="G7" i="4"/>
  <c r="F7" i="4"/>
  <c r="E7" i="4"/>
  <c r="D7" i="4"/>
  <c r="C7" i="4"/>
  <c r="B7" i="4"/>
  <c r="H6" i="4"/>
  <c r="G6" i="4"/>
  <c r="F6" i="4"/>
  <c r="E6" i="4"/>
  <c r="D6" i="4"/>
  <c r="C6" i="4"/>
  <c r="B6" i="4"/>
  <c r="H5" i="4"/>
  <c r="G5" i="4"/>
  <c r="F5" i="4"/>
  <c r="E5" i="4"/>
  <c r="D5" i="4"/>
  <c r="C5" i="4"/>
  <c r="B5" i="4"/>
  <c r="H4" i="4"/>
  <c r="G4" i="4"/>
  <c r="F4" i="4"/>
  <c r="E4" i="4"/>
  <c r="D4" i="4"/>
  <c r="C4" i="4"/>
  <c r="B4" i="4"/>
  <c r="B20" i="15"/>
  <c r="G35" i="16" l="1"/>
  <c r="I22" i="16"/>
  <c r="F22" i="16"/>
  <c r="H7" i="16"/>
  <c r="G38" i="16"/>
  <c r="H17" i="16"/>
  <c r="I7" i="16"/>
  <c r="I10" i="16"/>
  <c r="H22" i="16"/>
  <c r="H31" i="16"/>
  <c r="H20" i="16"/>
  <c r="E35" i="16"/>
  <c r="C50" i="16"/>
  <c r="E30" i="16"/>
  <c r="E33" i="16" s="1"/>
  <c r="F38" i="16"/>
  <c r="E22" i="16"/>
  <c r="E38" i="16"/>
  <c r="I20" i="16"/>
  <c r="D22" i="16"/>
  <c r="D38" i="16"/>
  <c r="G31" i="16"/>
  <c r="D50" i="16"/>
  <c r="F31" i="16"/>
  <c r="C22" i="16"/>
  <c r="C38" i="16"/>
  <c r="G22" i="16"/>
  <c r="I38" i="16"/>
  <c r="F19" i="16"/>
  <c r="H38" i="16"/>
  <c r="I63" i="16"/>
  <c r="E31" i="16"/>
  <c r="G19" i="16"/>
  <c r="C37" i="16"/>
  <c r="D31" i="16"/>
  <c r="I19" i="16"/>
  <c r="F20" i="16"/>
  <c r="C10" i="16"/>
  <c r="E37" i="16"/>
  <c r="G63" i="16"/>
  <c r="F35" i="16"/>
  <c r="G7" i="16"/>
  <c r="H10" i="16"/>
  <c r="E19" i="16"/>
  <c r="D35" i="16"/>
  <c r="D30" i="16"/>
  <c r="D33" i="16" s="1"/>
  <c r="I17" i="16"/>
  <c r="C30" i="16"/>
  <c r="C33" i="16" s="1"/>
  <c r="C7" i="16"/>
  <c r="D10" i="16"/>
  <c r="F30" i="16"/>
  <c r="F33" i="16" s="1"/>
  <c r="H19" i="16"/>
  <c r="G20" i="16"/>
  <c r="D7" i="16"/>
  <c r="E10" i="16"/>
  <c r="F7" i="16"/>
  <c r="G10" i="16"/>
  <c r="C20" i="16"/>
  <c r="D19" i="16"/>
  <c r="F63" i="16"/>
  <c r="E7" i="16"/>
  <c r="F10" i="16"/>
  <c r="D17" i="16"/>
  <c r="E17" i="16"/>
  <c r="H63" i="16"/>
  <c r="G17" i="16"/>
  <c r="D20" i="16"/>
  <c r="F50" i="16"/>
  <c r="C63" i="16"/>
  <c r="G30" i="16"/>
  <c r="G33" i="16" s="1"/>
  <c r="F17" i="16"/>
  <c r="E20" i="16"/>
  <c r="H50" i="16"/>
  <c r="D63" i="16"/>
  <c r="E63" i="16"/>
  <c r="H35" i="16"/>
  <c r="H30" i="16"/>
  <c r="H33" i="16" s="1"/>
  <c r="C19" i="16"/>
  <c r="C17" i="16"/>
  <c r="C35" i="16"/>
  <c r="G50" i="16"/>
  <c r="G37" i="16"/>
  <c r="D37" i="16"/>
  <c r="H37" i="16"/>
  <c r="E50" i="16"/>
  <c r="F37" i="16"/>
  <c r="I37" i="16"/>
  <c r="B37" i="6"/>
  <c r="G13" i="15"/>
  <c r="I11" i="15"/>
  <c r="E17" i="15"/>
  <c r="H14" i="15"/>
  <c r="B19" i="15"/>
  <c r="F19" i="15" s="1"/>
  <c r="B30" i="7"/>
  <c r="D30" i="7"/>
  <c r="B30" i="6"/>
  <c r="D30" i="6"/>
  <c r="F20" i="15"/>
  <c r="C20" i="12" l="1"/>
  <c r="D16" i="12"/>
  <c r="H8" i="12"/>
  <c r="D5" i="12"/>
  <c r="G12" i="11"/>
  <c r="G12" i="10"/>
  <c r="D29" i="9"/>
  <c r="D26" i="9"/>
  <c r="D23" i="9"/>
  <c r="B23" i="9"/>
  <c r="A1" i="9"/>
  <c r="D37" i="8"/>
  <c r="B25" i="8"/>
  <c r="D23" i="8"/>
  <c r="B23" i="8"/>
  <c r="A1" i="8"/>
  <c r="D37" i="9"/>
  <c r="B37" i="9"/>
  <c r="D35" i="9"/>
  <c r="B35" i="9"/>
  <c r="E29" i="7"/>
  <c r="B29" i="9"/>
  <c r="D28" i="9"/>
  <c r="B28" i="9"/>
  <c r="E28" i="9" s="1"/>
  <c r="D27" i="9"/>
  <c r="D38" i="9"/>
  <c r="B26" i="9"/>
  <c r="D25" i="9"/>
  <c r="B25" i="9"/>
  <c r="D33" i="7"/>
  <c r="B24" i="9"/>
  <c r="B31" i="9" s="1"/>
  <c r="B37" i="8"/>
  <c r="D35" i="8"/>
  <c r="B35" i="8"/>
  <c r="D31" i="6"/>
  <c r="D32" i="6" s="1"/>
  <c r="D32" i="8" s="1"/>
  <c r="D29" i="8"/>
  <c r="D28" i="8"/>
  <c r="B28" i="8"/>
  <c r="D27" i="8"/>
  <c r="B33" i="6"/>
  <c r="D22" i="12" s="1"/>
  <c r="E25" i="6"/>
  <c r="D25" i="8"/>
  <c r="D34" i="8"/>
  <c r="B24" i="8"/>
  <c r="D2" i="5"/>
  <c r="B2" i="5"/>
  <c r="D1" i="5"/>
  <c r="B1" i="5"/>
  <c r="H138" i="4"/>
  <c r="F138" i="4"/>
  <c r="B138" i="4"/>
  <c r="D23" i="12"/>
  <c r="B127" i="4"/>
  <c r="D126" i="4"/>
  <c r="F127" i="4"/>
  <c r="G128" i="4"/>
  <c r="E126" i="4"/>
  <c r="D125" i="4"/>
  <c r="H126" i="4"/>
  <c r="C126" i="4"/>
  <c r="J117" i="4"/>
  <c r="J116" i="4"/>
  <c r="I116" i="4"/>
  <c r="D115" i="4"/>
  <c r="G114" i="4"/>
  <c r="H114" i="4"/>
  <c r="F114" i="4"/>
  <c r="E114" i="4"/>
  <c r="J113" i="4"/>
  <c r="E27" i="6"/>
  <c r="E115" i="4"/>
  <c r="C115" i="4"/>
  <c r="B115" i="4"/>
  <c r="J110" i="4"/>
  <c r="I110" i="4"/>
  <c r="G108" i="4"/>
  <c r="G109" i="4" s="1"/>
  <c r="D108" i="4"/>
  <c r="B108" i="4"/>
  <c r="B109" i="4" s="1"/>
  <c r="J107" i="4"/>
  <c r="G11" i="7" s="1"/>
  <c r="G12" i="7" s="1"/>
  <c r="I107" i="4"/>
  <c r="G11" i="6" s="1"/>
  <c r="G11" i="11"/>
  <c r="H108" i="4"/>
  <c r="H109" i="4" s="1"/>
  <c r="F108" i="4"/>
  <c r="F109" i="4" s="1"/>
  <c r="E108" i="4"/>
  <c r="D127" i="4"/>
  <c r="J104" i="4"/>
  <c r="I104" i="4"/>
  <c r="J96" i="4"/>
  <c r="I96" i="4"/>
  <c r="J95" i="4"/>
  <c r="E16" i="10"/>
  <c r="E14" i="11"/>
  <c r="E14" i="10"/>
  <c r="I90" i="4"/>
  <c r="D44" i="5" s="1"/>
  <c r="J89" i="4"/>
  <c r="I88" i="4"/>
  <c r="D42" i="5" s="1"/>
  <c r="I87" i="4"/>
  <c r="D41" i="5" s="1"/>
  <c r="J84" i="4"/>
  <c r="J81" i="4"/>
  <c r="I79" i="4"/>
  <c r="D33" i="5" s="1"/>
  <c r="J78" i="4"/>
  <c r="J77" i="4"/>
  <c r="I71" i="4"/>
  <c r="E8" i="11"/>
  <c r="E7" i="11"/>
  <c r="I69" i="4"/>
  <c r="J68" i="4"/>
  <c r="I61" i="4"/>
  <c r="D15" i="5" s="1"/>
  <c r="J60" i="4"/>
  <c r="I57" i="4"/>
  <c r="D11" i="5" s="1"/>
  <c r="J56" i="4"/>
  <c r="F103" i="4"/>
  <c r="E103" i="4"/>
  <c r="I55" i="4"/>
  <c r="D9" i="5" s="1"/>
  <c r="H98" i="4"/>
  <c r="J54" i="4"/>
  <c r="I53" i="4"/>
  <c r="D7" i="5" s="1"/>
  <c r="H102" i="4"/>
  <c r="G102" i="4"/>
  <c r="F102" i="4"/>
  <c r="E102" i="4"/>
  <c r="D102" i="4"/>
  <c r="C102" i="4"/>
  <c r="E2" i="11" s="1"/>
  <c r="B102" i="4"/>
  <c r="I49" i="4"/>
  <c r="J48" i="4"/>
  <c r="J46" i="4"/>
  <c r="I45" i="4"/>
  <c r="B45" i="5" s="1"/>
  <c r="B16" i="10"/>
  <c r="B15" i="11"/>
  <c r="J43" i="4"/>
  <c r="B15" i="7" s="1"/>
  <c r="B15" i="9" s="1"/>
  <c r="B14" i="11"/>
  <c r="B14" i="10"/>
  <c r="I41" i="4"/>
  <c r="B13" i="11"/>
  <c r="B13" i="10"/>
  <c r="J40" i="4"/>
  <c r="I39" i="4"/>
  <c r="B39" i="5" s="1"/>
  <c r="J38" i="4"/>
  <c r="I37" i="4"/>
  <c r="B12" i="11"/>
  <c r="J36" i="4"/>
  <c r="I33" i="4"/>
  <c r="B33" i="5" s="1"/>
  <c r="J32" i="4"/>
  <c r="I31" i="4"/>
  <c r="B31" i="5" s="1"/>
  <c r="J30" i="4"/>
  <c r="B10" i="7" s="1"/>
  <c r="B10" i="9" s="1"/>
  <c r="B10" i="11"/>
  <c r="I29" i="4"/>
  <c r="B9" i="11"/>
  <c r="B8" i="11"/>
  <c r="B8" i="10"/>
  <c r="J26" i="4"/>
  <c r="H100" i="4"/>
  <c r="G100" i="4"/>
  <c r="F100" i="4"/>
  <c r="E100" i="4"/>
  <c r="D100" i="4"/>
  <c r="C100" i="4"/>
  <c r="B4" i="11" s="1"/>
  <c r="B100" i="4"/>
  <c r="G99" i="4"/>
  <c r="F99" i="4"/>
  <c r="E99" i="4"/>
  <c r="J11" i="4"/>
  <c r="J10" i="4"/>
  <c r="F98" i="4"/>
  <c r="E98" i="4"/>
  <c r="C98" i="4"/>
  <c r="B3" i="11" s="1"/>
  <c r="B98" i="4"/>
  <c r="J8" i="4"/>
  <c r="J7" i="4"/>
  <c r="J6" i="4"/>
  <c r="J5" i="4"/>
  <c r="H97" i="4"/>
  <c r="R77" i="2"/>
  <c r="P77" i="2"/>
  <c r="R76" i="2"/>
  <c r="P76" i="2"/>
  <c r="R75" i="2"/>
  <c r="P75" i="2"/>
  <c r="R74" i="2"/>
  <c r="P74" i="2"/>
  <c r="R73" i="2"/>
  <c r="P73" i="2"/>
  <c r="R72" i="2"/>
  <c r="P72" i="2"/>
  <c r="R71" i="2"/>
  <c r="P71" i="2"/>
  <c r="R70" i="2"/>
  <c r="P70" i="2"/>
  <c r="R69" i="2"/>
  <c r="P69" i="2"/>
  <c r="R68" i="2"/>
  <c r="P68" i="2"/>
  <c r="R67" i="2"/>
  <c r="P67" i="2"/>
  <c r="R66" i="2"/>
  <c r="P66" i="2"/>
  <c r="R65" i="2"/>
  <c r="P65" i="2"/>
  <c r="R64" i="2"/>
  <c r="P64" i="2"/>
  <c r="R63" i="2"/>
  <c r="P63" i="2"/>
  <c r="R62" i="2"/>
  <c r="P62" i="2"/>
  <c r="R61" i="2"/>
  <c r="P61" i="2"/>
  <c r="R60" i="2"/>
  <c r="P60" i="2"/>
  <c r="R59" i="2"/>
  <c r="P59" i="2"/>
  <c r="R58" i="2"/>
  <c r="P58" i="2"/>
  <c r="R57" i="2"/>
  <c r="P57" i="2"/>
  <c r="R56" i="2"/>
  <c r="P56" i="2"/>
  <c r="R55" i="2"/>
  <c r="P55" i="2"/>
  <c r="R54" i="2"/>
  <c r="P54" i="2"/>
  <c r="R53" i="2"/>
  <c r="P53" i="2"/>
  <c r="R52" i="2"/>
  <c r="P52" i="2"/>
  <c r="R51" i="2"/>
  <c r="P51" i="2"/>
  <c r="R50" i="2"/>
  <c r="P50" i="2"/>
  <c r="R49" i="2"/>
  <c r="P49" i="2"/>
  <c r="R48" i="2"/>
  <c r="P48" i="2"/>
  <c r="R47" i="2"/>
  <c r="P47" i="2"/>
  <c r="R46" i="2"/>
  <c r="P46" i="2"/>
  <c r="R45" i="2"/>
  <c r="P45" i="2"/>
  <c r="P80" i="2" s="1"/>
  <c r="R44" i="2"/>
  <c r="P44" i="2"/>
  <c r="R43" i="2"/>
  <c r="P43" i="2"/>
  <c r="R42" i="2"/>
  <c r="P42" i="2"/>
  <c r="R41" i="2"/>
  <c r="P41" i="2"/>
  <c r="R40" i="2"/>
  <c r="P40" i="2"/>
  <c r="R39" i="2"/>
  <c r="P39" i="2"/>
  <c r="R38" i="2"/>
  <c r="P38" i="2"/>
  <c r="R37" i="2"/>
  <c r="P37" i="2"/>
  <c r="R36" i="2"/>
  <c r="P36" i="2"/>
  <c r="R35" i="2"/>
  <c r="P35" i="2"/>
  <c r="Q35" i="2" s="1"/>
  <c r="R34" i="2"/>
  <c r="P34" i="2"/>
  <c r="R33" i="2"/>
  <c r="P33" i="2"/>
  <c r="R32" i="2"/>
  <c r="P32" i="2"/>
  <c r="R31" i="2"/>
  <c r="P31" i="2"/>
  <c r="R30" i="2"/>
  <c r="P30" i="2"/>
  <c r="R29" i="2"/>
  <c r="P29" i="2"/>
  <c r="Q28" i="2" s="1"/>
  <c r="R28" i="2"/>
  <c r="P28" i="2"/>
  <c r="R26" i="2"/>
  <c r="P26" i="2"/>
  <c r="R25" i="2"/>
  <c r="P25" i="2"/>
  <c r="R24" i="2"/>
  <c r="P24" i="2"/>
  <c r="R23" i="2"/>
  <c r="P23" i="2"/>
  <c r="R22" i="2"/>
  <c r="P22" i="2"/>
  <c r="R21" i="2"/>
  <c r="P21" i="2"/>
  <c r="P79" i="2" s="1"/>
  <c r="R20" i="2"/>
  <c r="P20" i="2"/>
  <c r="R19" i="2"/>
  <c r="P19" i="2"/>
  <c r="R18" i="2"/>
  <c r="P18" i="2"/>
  <c r="R17" i="2"/>
  <c r="P17" i="2"/>
  <c r="R16" i="2"/>
  <c r="P16" i="2"/>
  <c r="R15" i="2"/>
  <c r="P15" i="2"/>
  <c r="R13" i="2"/>
  <c r="R79" i="2" s="1"/>
  <c r="P13" i="2"/>
  <c r="R12" i="2"/>
  <c r="P12" i="2"/>
  <c r="R11" i="2"/>
  <c r="P11" i="2"/>
  <c r="R10" i="2"/>
  <c r="P10" i="2"/>
  <c r="R9" i="2"/>
  <c r="P9" i="2"/>
  <c r="R8" i="2"/>
  <c r="P8" i="2"/>
  <c r="R7" i="2"/>
  <c r="P7" i="2"/>
  <c r="R6" i="2"/>
  <c r="P6" i="2"/>
  <c r="R5" i="2"/>
  <c r="P5" i="2"/>
  <c r="R4" i="2"/>
  <c r="P4" i="2"/>
  <c r="O80" i="2"/>
  <c r="N80" i="2"/>
  <c r="M80" i="2"/>
  <c r="L80" i="2"/>
  <c r="K80" i="2"/>
  <c r="G80" i="2"/>
  <c r="E80" i="2"/>
  <c r="C80" i="2"/>
  <c r="B80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G73" i="3"/>
  <c r="F73" i="3"/>
  <c r="I72" i="3"/>
  <c r="H72" i="3"/>
  <c r="E72" i="3"/>
  <c r="D72" i="3"/>
  <c r="J71" i="3"/>
  <c r="I71" i="3"/>
  <c r="F71" i="3"/>
  <c r="E71" i="3"/>
  <c r="B71" i="3"/>
  <c r="J70" i="3"/>
  <c r="I70" i="3"/>
  <c r="B70" i="3"/>
  <c r="J68" i="3"/>
  <c r="I68" i="3"/>
  <c r="H68" i="3"/>
  <c r="G68" i="3"/>
  <c r="F68" i="3"/>
  <c r="E68" i="3"/>
  <c r="D68" i="3"/>
  <c r="C68" i="3"/>
  <c r="B68" i="3"/>
  <c r="J67" i="3"/>
  <c r="I67" i="3"/>
  <c r="H67" i="3"/>
  <c r="G67" i="3"/>
  <c r="F67" i="3"/>
  <c r="E67" i="3"/>
  <c r="D67" i="3"/>
  <c r="C67" i="3"/>
  <c r="B67" i="3"/>
  <c r="J66" i="3"/>
  <c r="I66" i="3"/>
  <c r="H66" i="3"/>
  <c r="G66" i="3"/>
  <c r="F66" i="3"/>
  <c r="E66" i="3"/>
  <c r="D66" i="3"/>
  <c r="C66" i="3"/>
  <c r="B66" i="3"/>
  <c r="J65" i="3"/>
  <c r="I65" i="3"/>
  <c r="H65" i="3"/>
  <c r="G65" i="3"/>
  <c r="F65" i="3"/>
  <c r="E65" i="3"/>
  <c r="D65" i="3"/>
  <c r="C65" i="3"/>
  <c r="B65" i="3"/>
  <c r="J64" i="3"/>
  <c r="I64" i="3"/>
  <c r="H64" i="3"/>
  <c r="G64" i="3"/>
  <c r="F64" i="3"/>
  <c r="E64" i="3"/>
  <c r="D64" i="3"/>
  <c r="C64" i="3"/>
  <c r="B64" i="3"/>
  <c r="J63" i="3"/>
  <c r="I63" i="3"/>
  <c r="H63" i="3"/>
  <c r="G63" i="3"/>
  <c r="F63" i="3"/>
  <c r="E63" i="3"/>
  <c r="D63" i="3"/>
  <c r="C63" i="3"/>
  <c r="B63" i="3"/>
  <c r="J62" i="3"/>
  <c r="I62" i="3"/>
  <c r="H62" i="3"/>
  <c r="G62" i="3"/>
  <c r="F62" i="3"/>
  <c r="E62" i="3"/>
  <c r="D62" i="3"/>
  <c r="C62" i="3"/>
  <c r="B62" i="3"/>
  <c r="J61" i="3"/>
  <c r="I61" i="3"/>
  <c r="H61" i="3"/>
  <c r="G61" i="3"/>
  <c r="F61" i="3"/>
  <c r="E61" i="3"/>
  <c r="D61" i="3"/>
  <c r="C61" i="3"/>
  <c r="B61" i="3"/>
  <c r="J60" i="3"/>
  <c r="I60" i="3"/>
  <c r="H60" i="3"/>
  <c r="G60" i="3"/>
  <c r="F60" i="3"/>
  <c r="E60" i="3"/>
  <c r="D60" i="3"/>
  <c r="C60" i="3"/>
  <c r="B60" i="3"/>
  <c r="J59" i="3"/>
  <c r="J73" i="3" s="1"/>
  <c r="I59" i="3"/>
  <c r="I73" i="3" s="1"/>
  <c r="H59" i="3"/>
  <c r="H73" i="3" s="1"/>
  <c r="G59" i="3"/>
  <c r="F59" i="3"/>
  <c r="E59" i="3"/>
  <c r="E73" i="3" s="1"/>
  <c r="D59" i="3"/>
  <c r="D71" i="3" s="1"/>
  <c r="C59" i="3"/>
  <c r="C71" i="3" s="1"/>
  <c r="B59" i="3"/>
  <c r="B73" i="3" s="1"/>
  <c r="J58" i="3"/>
  <c r="I58" i="3"/>
  <c r="H58" i="3"/>
  <c r="G58" i="3"/>
  <c r="F58" i="3"/>
  <c r="E58" i="3"/>
  <c r="D58" i="3"/>
  <c r="C58" i="3"/>
  <c r="B58" i="3"/>
  <c r="J57" i="3"/>
  <c r="I57" i="3"/>
  <c r="H57" i="3"/>
  <c r="G57" i="3"/>
  <c r="F57" i="3"/>
  <c r="E57" i="3"/>
  <c r="D57" i="3"/>
  <c r="C57" i="3"/>
  <c r="B57" i="3"/>
  <c r="J56" i="3"/>
  <c r="I56" i="3"/>
  <c r="H56" i="3"/>
  <c r="G56" i="3"/>
  <c r="F56" i="3"/>
  <c r="E56" i="3"/>
  <c r="D56" i="3"/>
  <c r="C56" i="3"/>
  <c r="B56" i="3"/>
  <c r="J55" i="3"/>
  <c r="I55" i="3"/>
  <c r="H55" i="3"/>
  <c r="G55" i="3"/>
  <c r="F55" i="3"/>
  <c r="E55" i="3"/>
  <c r="D55" i="3"/>
  <c r="C55" i="3"/>
  <c r="B55" i="3"/>
  <c r="J54" i="3"/>
  <c r="I54" i="3"/>
  <c r="H54" i="3"/>
  <c r="G54" i="3"/>
  <c r="F54" i="3"/>
  <c r="E54" i="3"/>
  <c r="D54" i="3"/>
  <c r="C54" i="3"/>
  <c r="B54" i="3"/>
  <c r="J53" i="3"/>
  <c r="I53" i="3"/>
  <c r="H53" i="3"/>
  <c r="G53" i="3"/>
  <c r="F53" i="3"/>
  <c r="E53" i="3"/>
  <c r="D53" i="3"/>
  <c r="C53" i="3"/>
  <c r="B53" i="3"/>
  <c r="J52" i="3"/>
  <c r="I52" i="3"/>
  <c r="H52" i="3"/>
  <c r="G52" i="3"/>
  <c r="F52" i="3"/>
  <c r="E52" i="3"/>
  <c r="D52" i="3"/>
  <c r="C52" i="3"/>
  <c r="B52" i="3"/>
  <c r="J51" i="3"/>
  <c r="I51" i="3"/>
  <c r="H51" i="3"/>
  <c r="G51" i="3"/>
  <c r="F51" i="3"/>
  <c r="E51" i="3"/>
  <c r="D51" i="3"/>
  <c r="C51" i="3"/>
  <c r="B51" i="3"/>
  <c r="J50" i="3"/>
  <c r="I50" i="3"/>
  <c r="H50" i="3"/>
  <c r="G50" i="3"/>
  <c r="F50" i="3"/>
  <c r="E50" i="3"/>
  <c r="D50" i="3"/>
  <c r="C50" i="3"/>
  <c r="B50" i="3"/>
  <c r="J49" i="3"/>
  <c r="I49" i="3"/>
  <c r="H49" i="3"/>
  <c r="G49" i="3"/>
  <c r="F49" i="3"/>
  <c r="E49" i="3"/>
  <c r="D49" i="3"/>
  <c r="C49" i="3"/>
  <c r="B49" i="3"/>
  <c r="J48" i="3"/>
  <c r="I48" i="3"/>
  <c r="H48" i="3"/>
  <c r="G48" i="3"/>
  <c r="F48" i="3"/>
  <c r="E48" i="3"/>
  <c r="D48" i="3"/>
  <c r="C48" i="3"/>
  <c r="B48" i="3"/>
  <c r="J47" i="3"/>
  <c r="I47" i="3"/>
  <c r="H47" i="3"/>
  <c r="G47" i="3"/>
  <c r="F47" i="3"/>
  <c r="E47" i="3"/>
  <c r="D47" i="3"/>
  <c r="C47" i="3"/>
  <c r="B47" i="3"/>
  <c r="J46" i="3"/>
  <c r="I46" i="3"/>
  <c r="H46" i="3"/>
  <c r="G46" i="3"/>
  <c r="F46" i="3"/>
  <c r="E46" i="3"/>
  <c r="D46" i="3"/>
  <c r="C46" i="3"/>
  <c r="B46" i="3"/>
  <c r="J45" i="3"/>
  <c r="I45" i="3"/>
  <c r="H45" i="3"/>
  <c r="G45" i="3"/>
  <c r="F45" i="3"/>
  <c r="E45" i="3"/>
  <c r="D45" i="3"/>
  <c r="C45" i="3"/>
  <c r="B45" i="3"/>
  <c r="J44" i="3"/>
  <c r="I44" i="3"/>
  <c r="H44" i="3"/>
  <c r="G44" i="3"/>
  <c r="F44" i="3"/>
  <c r="E44" i="3"/>
  <c r="D44" i="3"/>
  <c r="C44" i="3"/>
  <c r="B44" i="3"/>
  <c r="J43" i="3"/>
  <c r="I43" i="3"/>
  <c r="H43" i="3"/>
  <c r="G43" i="3"/>
  <c r="F43" i="3"/>
  <c r="E43" i="3"/>
  <c r="D43" i="3"/>
  <c r="C43" i="3"/>
  <c r="B43" i="3"/>
  <c r="J42" i="3"/>
  <c r="I42" i="3"/>
  <c r="H42" i="3"/>
  <c r="G42" i="3"/>
  <c r="F42" i="3"/>
  <c r="E42" i="3"/>
  <c r="D42" i="3"/>
  <c r="C42" i="3"/>
  <c r="B42" i="3"/>
  <c r="J41" i="3"/>
  <c r="I41" i="3"/>
  <c r="H41" i="3"/>
  <c r="G41" i="3"/>
  <c r="F41" i="3"/>
  <c r="E41" i="3"/>
  <c r="D41" i="3"/>
  <c r="C41" i="3"/>
  <c r="B41" i="3"/>
  <c r="J40" i="3"/>
  <c r="J72" i="3" s="1"/>
  <c r="I40" i="3"/>
  <c r="H40" i="3"/>
  <c r="H70" i="3" s="1"/>
  <c r="G40" i="3"/>
  <c r="G72" i="3" s="1"/>
  <c r="F40" i="3"/>
  <c r="F72" i="3" s="1"/>
  <c r="E40" i="3"/>
  <c r="E70" i="3" s="1"/>
  <c r="D40" i="3"/>
  <c r="D70" i="3" s="1"/>
  <c r="C40" i="3"/>
  <c r="C72" i="3" s="1"/>
  <c r="B40" i="3"/>
  <c r="B72" i="3" s="1"/>
  <c r="J39" i="3"/>
  <c r="I39" i="3"/>
  <c r="H39" i="3"/>
  <c r="H71" i="3" s="1"/>
  <c r="G39" i="3"/>
  <c r="G71" i="3" s="1"/>
  <c r="F39" i="3"/>
  <c r="E39" i="3"/>
  <c r="D39" i="3"/>
  <c r="C39" i="3"/>
  <c r="B39" i="3"/>
  <c r="I37" i="3"/>
  <c r="H37" i="3"/>
  <c r="G37" i="3"/>
  <c r="F37" i="3"/>
  <c r="E37" i="3"/>
  <c r="D37" i="3"/>
  <c r="C37" i="3"/>
  <c r="B37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R24" i="3"/>
  <c r="Q24" i="3"/>
  <c r="P24" i="3"/>
  <c r="R23" i="3"/>
  <c r="Q23" i="3"/>
  <c r="P23" i="3"/>
  <c r="R22" i="3"/>
  <c r="Q22" i="3"/>
  <c r="P22" i="3"/>
  <c r="R21" i="3"/>
  <c r="Q21" i="3"/>
  <c r="P21" i="3"/>
  <c r="R14" i="3"/>
  <c r="Q14" i="3"/>
  <c r="P14" i="3"/>
  <c r="R12" i="3"/>
  <c r="Q12" i="3"/>
  <c r="P12" i="3"/>
  <c r="R6" i="3"/>
  <c r="Q6" i="3"/>
  <c r="P6" i="3"/>
  <c r="R4" i="3"/>
  <c r="Q4" i="3"/>
  <c r="P4" i="3"/>
  <c r="R3" i="3"/>
  <c r="Q3" i="3"/>
  <c r="P3" i="3"/>
  <c r="Q95" i="1"/>
  <c r="Q94" i="1"/>
  <c r="Q93" i="1"/>
  <c r="R92" i="1"/>
  <c r="S92" i="1" s="1"/>
  <c r="Q92" i="1"/>
  <c r="Q91" i="1"/>
  <c r="Q90" i="1"/>
  <c r="Q89" i="1"/>
  <c r="Q88" i="1"/>
  <c r="Q87" i="1"/>
  <c r="Q86" i="1"/>
  <c r="Q85" i="1"/>
  <c r="Q84" i="1"/>
  <c r="Q83" i="1"/>
  <c r="Q82" i="1"/>
  <c r="Q81" i="1"/>
  <c r="S81" i="1" s="1"/>
  <c r="Q80" i="1"/>
  <c r="Q79" i="1"/>
  <c r="Q78" i="1"/>
  <c r="Q77" i="1"/>
  <c r="Q76" i="1"/>
  <c r="Q75" i="1"/>
  <c r="Q73" i="1"/>
  <c r="Q72" i="1"/>
  <c r="Q71" i="1"/>
  <c r="Q70" i="1"/>
  <c r="R81" i="1" s="1"/>
  <c r="Q69" i="1"/>
  <c r="Q67" i="1"/>
  <c r="Q66" i="1"/>
  <c r="Q65" i="1"/>
  <c r="Q64" i="1"/>
  <c r="Q63" i="1"/>
  <c r="Q62" i="1"/>
  <c r="Q61" i="1"/>
  <c r="Q60" i="1"/>
  <c r="Q58" i="1"/>
  <c r="Q57" i="1"/>
  <c r="Q56" i="1"/>
  <c r="Q55" i="1"/>
  <c r="Q54" i="1"/>
  <c r="Q53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3" i="1"/>
  <c r="Q32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1" i="1"/>
  <c r="Q10" i="1"/>
  <c r="Q9" i="1"/>
  <c r="Q8" i="1"/>
  <c r="Q6" i="1"/>
  <c r="Q5" i="1"/>
  <c r="Q4" i="1"/>
  <c r="R23" i="1" s="1"/>
  <c r="H5" i="12" l="1"/>
  <c r="D17" i="12"/>
  <c r="D13" i="12"/>
  <c r="D14" i="12"/>
  <c r="R68" i="1"/>
  <c r="S68" i="1" s="1"/>
  <c r="R47" i="1"/>
  <c r="S47" i="1"/>
  <c r="G12" i="6"/>
  <c r="G12" i="8" s="1"/>
  <c r="E29" i="9"/>
  <c r="B19" i="11"/>
  <c r="J100" i="4"/>
  <c r="B4" i="7" s="1"/>
  <c r="B4" i="9" s="1"/>
  <c r="I12" i="4"/>
  <c r="B12" i="5" s="1"/>
  <c r="J16" i="4"/>
  <c r="B7" i="11"/>
  <c r="I38" i="4"/>
  <c r="B38" i="5" s="1"/>
  <c r="I40" i="4"/>
  <c r="B40" i="5" s="1"/>
  <c r="I59" i="4"/>
  <c r="D13" i="5" s="1"/>
  <c r="I63" i="4"/>
  <c r="D17" i="5" s="1"/>
  <c r="I77" i="4"/>
  <c r="D31" i="5" s="1"/>
  <c r="E109" i="4"/>
  <c r="G138" i="4"/>
  <c r="E24" i="7"/>
  <c r="I11" i="4"/>
  <c r="B11" i="5" s="1"/>
  <c r="I54" i="4"/>
  <c r="D8" i="5" s="1"/>
  <c r="I56" i="4"/>
  <c r="D10" i="5" s="1"/>
  <c r="I68" i="4"/>
  <c r="D22" i="5" s="1"/>
  <c r="I4" i="5" s="1"/>
  <c r="J75" i="4"/>
  <c r="I86" i="4"/>
  <c r="D40" i="5" s="1"/>
  <c r="F115" i="4"/>
  <c r="J118" i="4"/>
  <c r="C125" i="4"/>
  <c r="F128" i="4"/>
  <c r="D128" i="4"/>
  <c r="H111" i="4"/>
  <c r="G98" i="4"/>
  <c r="G111" i="4" s="1"/>
  <c r="C99" i="4"/>
  <c r="B5" i="11" s="1"/>
  <c r="J24" i="4"/>
  <c r="I52" i="4"/>
  <c r="D6" i="5" s="1"/>
  <c r="C103" i="4"/>
  <c r="E3" i="11" s="1"/>
  <c r="J65" i="4"/>
  <c r="J74" i="4"/>
  <c r="I7" i="4"/>
  <c r="B7" i="5" s="1"/>
  <c r="D99" i="4"/>
  <c r="H99" i="4"/>
  <c r="H101" i="4" s="1"/>
  <c r="J73" i="4"/>
  <c r="J83" i="4"/>
  <c r="B125" i="4"/>
  <c r="E26" i="9"/>
  <c r="B30" i="9"/>
  <c r="H103" i="4"/>
  <c r="J14" i="4"/>
  <c r="I35" i="4"/>
  <c r="B35" i="5" s="1"/>
  <c r="J33" i="4"/>
  <c r="I51" i="4"/>
  <c r="D5" i="5" s="1"/>
  <c r="I64" i="4"/>
  <c r="D18" i="5" s="1"/>
  <c r="G97" i="4"/>
  <c r="J12" i="4"/>
  <c r="I13" i="4"/>
  <c r="B13" i="5" s="1"/>
  <c r="J20" i="4"/>
  <c r="I21" i="4"/>
  <c r="B21" i="5" s="1"/>
  <c r="J22" i="4"/>
  <c r="I48" i="4"/>
  <c r="B49" i="5" s="1"/>
  <c r="J49" i="4"/>
  <c r="J63" i="4"/>
  <c r="I65" i="4"/>
  <c r="D19" i="5" s="1"/>
  <c r="J71" i="4"/>
  <c r="E8" i="7" s="1"/>
  <c r="E8" i="9" s="1"/>
  <c r="J82" i="4"/>
  <c r="B126" i="4"/>
  <c r="D30" i="9"/>
  <c r="I19" i="4"/>
  <c r="B19" i="5" s="1"/>
  <c r="J27" i="4"/>
  <c r="I46" i="4"/>
  <c r="B46" i="5" s="1"/>
  <c r="I62" i="4"/>
  <c r="D16" i="5" s="1"/>
  <c r="J70" i="4"/>
  <c r="E7" i="7" s="1"/>
  <c r="E7" i="9" s="1"/>
  <c r="I73" i="4"/>
  <c r="D27" i="5" s="1"/>
  <c r="I93" i="4"/>
  <c r="E16" i="6" s="1"/>
  <c r="E16" i="8" s="1"/>
  <c r="B42" i="6"/>
  <c r="D28" i="12" s="1"/>
  <c r="B31" i="7"/>
  <c r="B32" i="7" s="1"/>
  <c r="B32" i="9" s="1"/>
  <c r="I20" i="4"/>
  <c r="B20" i="5" s="1"/>
  <c r="I27" i="4"/>
  <c r="B27" i="5" s="1"/>
  <c r="I47" i="4"/>
  <c r="B47" i="5" s="1"/>
  <c r="G8" i="5" s="1"/>
  <c r="J69" i="4"/>
  <c r="I78" i="4"/>
  <c r="D32" i="5" s="1"/>
  <c r="J79" i="4"/>
  <c r="I80" i="4"/>
  <c r="D34" i="5" s="1"/>
  <c r="E9" i="11"/>
  <c r="I82" i="4"/>
  <c r="D36" i="5" s="1"/>
  <c r="J90" i="4"/>
  <c r="H127" i="4"/>
  <c r="D114" i="4"/>
  <c r="E138" i="4"/>
  <c r="B34" i="9"/>
  <c r="D34" i="9"/>
  <c r="D24" i="9"/>
  <c r="D31" i="9" s="1"/>
  <c r="B9" i="6"/>
  <c r="B9" i="8" s="1"/>
  <c r="B29" i="5"/>
  <c r="J44" i="4"/>
  <c r="J52" i="4"/>
  <c r="B97" i="4"/>
  <c r="J4" i="4"/>
  <c r="I5" i="4"/>
  <c r="B5" i="5" s="1"/>
  <c r="I9" i="4"/>
  <c r="B9" i="5" s="1"/>
  <c r="I10" i="4"/>
  <c r="B10" i="5" s="1"/>
  <c r="J13" i="4"/>
  <c r="B99" i="4"/>
  <c r="I18" i="4"/>
  <c r="B18" i="5" s="1"/>
  <c r="J19" i="4"/>
  <c r="J67" i="4"/>
  <c r="F97" i="4"/>
  <c r="F101" i="4" s="1"/>
  <c r="I23" i="4"/>
  <c r="B23" i="5" s="1"/>
  <c r="G4" i="5" s="1"/>
  <c r="I25" i="4"/>
  <c r="G103" i="4"/>
  <c r="J66" i="4"/>
  <c r="J21" i="4"/>
  <c r="I22" i="4"/>
  <c r="B22" i="5" s="1"/>
  <c r="I24" i="4"/>
  <c r="I26" i="4"/>
  <c r="B26" i="5" s="1"/>
  <c r="I28" i="4"/>
  <c r="J35" i="4"/>
  <c r="I36" i="4"/>
  <c r="B36" i="5" s="1"/>
  <c r="I44" i="4"/>
  <c r="J51" i="4"/>
  <c r="J59" i="4"/>
  <c r="I60" i="4"/>
  <c r="D14" i="5" s="1"/>
  <c r="J62" i="4"/>
  <c r="I66" i="4"/>
  <c r="D20" i="5" s="1"/>
  <c r="J85" i="4"/>
  <c r="I4" i="4"/>
  <c r="B4" i="5" s="1"/>
  <c r="J29" i="4"/>
  <c r="B9" i="7" s="1"/>
  <c r="B9" i="9" s="1"/>
  <c r="B10" i="10"/>
  <c r="I30" i="4"/>
  <c r="J31" i="4"/>
  <c r="B11" i="10"/>
  <c r="B20" i="10" s="1"/>
  <c r="I32" i="4"/>
  <c r="J34" i="4"/>
  <c r="J37" i="4"/>
  <c r="B12" i="7" s="1"/>
  <c r="B12" i="9" s="1"/>
  <c r="J39" i="4"/>
  <c r="B16" i="11"/>
  <c r="J45" i="4"/>
  <c r="J47" i="4"/>
  <c r="E2" i="10"/>
  <c r="J102" i="4"/>
  <c r="E2" i="7" s="1"/>
  <c r="I102" i="4"/>
  <c r="E2" i="6" s="1"/>
  <c r="J53" i="4"/>
  <c r="J57" i="4"/>
  <c r="J58" i="4"/>
  <c r="J61" i="4"/>
  <c r="D25" i="5"/>
  <c r="E8" i="6"/>
  <c r="E8" i="8" s="1"/>
  <c r="G11" i="9"/>
  <c r="G12" i="9"/>
  <c r="J28" i="4"/>
  <c r="B8" i="7" s="1"/>
  <c r="B8" i="9" s="1"/>
  <c r="B12" i="6"/>
  <c r="B12" i="8" s="1"/>
  <c r="B37" i="5"/>
  <c r="B41" i="5"/>
  <c r="B13" i="6"/>
  <c r="B13" i="8" s="1"/>
  <c r="B15" i="10"/>
  <c r="I43" i="4"/>
  <c r="I72" i="4"/>
  <c r="D26" i="5" s="1"/>
  <c r="I83" i="4"/>
  <c r="J94" i="4"/>
  <c r="C114" i="4"/>
  <c r="I8" i="4"/>
  <c r="B8" i="5" s="1"/>
  <c r="D97" i="4"/>
  <c r="B2" i="15" s="1"/>
  <c r="C97" i="4"/>
  <c r="B2" i="11" s="1"/>
  <c r="I15" i="4"/>
  <c r="B15" i="5" s="1"/>
  <c r="I17" i="4"/>
  <c r="B17" i="5" s="1"/>
  <c r="J18" i="4"/>
  <c r="J87" i="4"/>
  <c r="G14" i="10"/>
  <c r="H14" i="10" s="1"/>
  <c r="D47" i="5"/>
  <c r="B3" i="10"/>
  <c r="E97" i="4"/>
  <c r="E101" i="4" s="1"/>
  <c r="D98" i="4"/>
  <c r="D111" i="4" s="1"/>
  <c r="I14" i="4"/>
  <c r="B14" i="5" s="1"/>
  <c r="I100" i="4"/>
  <c r="B4" i="6" s="1"/>
  <c r="B4" i="8" s="1"/>
  <c r="B4" i="10"/>
  <c r="E9" i="7"/>
  <c r="E9" i="9" s="1"/>
  <c r="I91" i="4"/>
  <c r="D45" i="5" s="1"/>
  <c r="G10" i="11"/>
  <c r="I11" i="11" s="1"/>
  <c r="C111" i="4"/>
  <c r="C128" i="4"/>
  <c r="C108" i="4"/>
  <c r="C109" i="4" s="1"/>
  <c r="J105" i="4"/>
  <c r="G9" i="7" s="1"/>
  <c r="C127" i="4"/>
  <c r="D138" i="4"/>
  <c r="I70" i="4"/>
  <c r="E7" i="10"/>
  <c r="I6" i="4"/>
  <c r="B6" i="5" s="1"/>
  <c r="I16" i="4"/>
  <c r="B16" i="5" s="1"/>
  <c r="J76" i="4"/>
  <c r="J86" i="4"/>
  <c r="I92" i="4"/>
  <c r="B31" i="8"/>
  <c r="J64" i="4"/>
  <c r="J72" i="4"/>
  <c r="J91" i="4"/>
  <c r="I112" i="4"/>
  <c r="B30" i="8"/>
  <c r="B26" i="8"/>
  <c r="B43" i="6"/>
  <c r="D29" i="12" s="1"/>
  <c r="E28" i="7"/>
  <c r="B38" i="9"/>
  <c r="B33" i="8"/>
  <c r="E16" i="11"/>
  <c r="J80" i="4"/>
  <c r="J9" i="4"/>
  <c r="J17" i="4"/>
  <c r="B7" i="10"/>
  <c r="J25" i="4"/>
  <c r="B7" i="7" s="1"/>
  <c r="B7" i="9" s="1"/>
  <c r="B11" i="11"/>
  <c r="B20" i="11" s="1"/>
  <c r="I34" i="4"/>
  <c r="B34" i="5" s="1"/>
  <c r="J41" i="4"/>
  <c r="B13" i="7" s="1"/>
  <c r="B13" i="9" s="1"/>
  <c r="I42" i="4"/>
  <c r="I50" i="4"/>
  <c r="D4" i="5" s="1"/>
  <c r="D103" i="4"/>
  <c r="I58" i="4"/>
  <c r="D12" i="5" s="1"/>
  <c r="I74" i="4"/>
  <c r="D28" i="5" s="1"/>
  <c r="I81" i="4"/>
  <c r="J92" i="4"/>
  <c r="E14" i="7" s="1"/>
  <c r="H115" i="4"/>
  <c r="E125" i="4"/>
  <c r="D38" i="8"/>
  <c r="D30" i="8"/>
  <c r="E25" i="7"/>
  <c r="B43" i="7"/>
  <c r="B12" i="10"/>
  <c r="J42" i="4"/>
  <c r="B14" i="7" s="1"/>
  <c r="B14" i="9" s="1"/>
  <c r="J50" i="4"/>
  <c r="I67" i="4"/>
  <c r="D21" i="5" s="1"/>
  <c r="I75" i="4"/>
  <c r="D29" i="5" s="1"/>
  <c r="I84" i="4"/>
  <c r="D38" i="5" s="1"/>
  <c r="J93" i="4"/>
  <c r="E16" i="7" s="1"/>
  <c r="E16" i="9" s="1"/>
  <c r="I94" i="4"/>
  <c r="D48" i="5" s="1"/>
  <c r="I8" i="5" s="1"/>
  <c r="G127" i="4"/>
  <c r="F125" i="4"/>
  <c r="F126" i="4"/>
  <c r="E26" i="6"/>
  <c r="E29" i="6"/>
  <c r="B36" i="6"/>
  <c r="B33" i="7"/>
  <c r="E26" i="7"/>
  <c r="G11" i="8"/>
  <c r="D24" i="8"/>
  <c r="D31" i="8" s="1"/>
  <c r="B29" i="8"/>
  <c r="E29" i="8" s="1"/>
  <c r="I76" i="4"/>
  <c r="D30" i="5" s="1"/>
  <c r="I85" i="4"/>
  <c r="D39" i="5" s="1"/>
  <c r="D109" i="4"/>
  <c r="I95" i="4"/>
  <c r="D49" i="5" s="1"/>
  <c r="G126" i="4"/>
  <c r="G125" i="4"/>
  <c r="H125" i="4"/>
  <c r="E127" i="4"/>
  <c r="E24" i="6"/>
  <c r="B31" i="6"/>
  <c r="B32" i="6" s="1"/>
  <c r="E8" i="10"/>
  <c r="E111" i="4"/>
  <c r="B42" i="7"/>
  <c r="E25" i="8"/>
  <c r="B9" i="10"/>
  <c r="G14" i="11"/>
  <c r="H14" i="11" s="1"/>
  <c r="G10" i="10"/>
  <c r="B111" i="4"/>
  <c r="B128" i="4"/>
  <c r="I105" i="4"/>
  <c r="G9" i="6" s="1"/>
  <c r="D27" i="12"/>
  <c r="I106" i="4"/>
  <c r="G10" i="6" s="1"/>
  <c r="J106" i="4"/>
  <c r="G10" i="7" s="1"/>
  <c r="F111" i="4"/>
  <c r="G115" i="4"/>
  <c r="I117" i="4"/>
  <c r="E28" i="8"/>
  <c r="D36" i="7"/>
  <c r="D36" i="9" s="1"/>
  <c r="D26" i="8"/>
  <c r="D33" i="9"/>
  <c r="E9" i="10"/>
  <c r="G11" i="10"/>
  <c r="J15" i="4"/>
  <c r="J23" i="4"/>
  <c r="B103" i="4"/>
  <c r="J55" i="4"/>
  <c r="J88" i="4"/>
  <c r="I89" i="4"/>
  <c r="D43" i="5" s="1"/>
  <c r="I113" i="4"/>
  <c r="B114" i="4"/>
  <c r="E128" i="4"/>
  <c r="C138" i="4"/>
  <c r="E28" i="6"/>
  <c r="D33" i="6"/>
  <c r="E25" i="9"/>
  <c r="D31" i="7"/>
  <c r="D32" i="7" s="1"/>
  <c r="D32" i="9" s="1"/>
  <c r="B27" i="8"/>
  <c r="E27" i="8" s="1"/>
  <c r="J112" i="4"/>
  <c r="J115" i="4" s="1"/>
  <c r="I118" i="4"/>
  <c r="H128" i="4"/>
  <c r="F70" i="3"/>
  <c r="C73" i="3"/>
  <c r="G70" i="3"/>
  <c r="D73" i="3"/>
  <c r="C70" i="3"/>
  <c r="S23" i="1"/>
  <c r="D32" i="12" l="1"/>
  <c r="H6" i="12"/>
  <c r="H7" i="12"/>
  <c r="I108" i="4"/>
  <c r="J108" i="4"/>
  <c r="J109" i="4"/>
  <c r="E24" i="9"/>
  <c r="G101" i="4"/>
  <c r="E17" i="11"/>
  <c r="B16" i="7"/>
  <c r="B16" i="9" s="1"/>
  <c r="I109" i="4"/>
  <c r="D101" i="4"/>
  <c r="B6" i="15" s="1"/>
  <c r="B17" i="15" s="1"/>
  <c r="E18" i="15" s="1"/>
  <c r="G10" i="5"/>
  <c r="B11" i="9"/>
  <c r="B20" i="9" s="1"/>
  <c r="B20" i="7"/>
  <c r="B5" i="10"/>
  <c r="I99" i="4"/>
  <c r="B5" i="6" s="1"/>
  <c r="B5" i="8" s="1"/>
  <c r="J99" i="4"/>
  <c r="B5" i="7" s="1"/>
  <c r="B5" i="9" s="1"/>
  <c r="G10" i="8"/>
  <c r="I10" i="6"/>
  <c r="D26" i="12" s="1"/>
  <c r="H6" i="6"/>
  <c r="H11" i="11"/>
  <c r="E19" i="11"/>
  <c r="E2" i="8"/>
  <c r="E24" i="8"/>
  <c r="D24" i="5"/>
  <c r="E7" i="6"/>
  <c r="E7" i="8" s="1"/>
  <c r="I98" i="4"/>
  <c r="B3" i="6" s="1"/>
  <c r="B15" i="6"/>
  <c r="B15" i="8" s="1"/>
  <c r="B43" i="5"/>
  <c r="E2" i="9"/>
  <c r="B32" i="5"/>
  <c r="B28" i="5"/>
  <c r="B8" i="6"/>
  <c r="B8" i="8" s="1"/>
  <c r="B7" i="6"/>
  <c r="B7" i="8" s="1"/>
  <c r="B25" i="5"/>
  <c r="G9" i="8"/>
  <c r="E19" i="6"/>
  <c r="E20" i="6" s="1"/>
  <c r="H10" i="6"/>
  <c r="B42" i="5"/>
  <c r="B14" i="6"/>
  <c r="B14" i="8" s="1"/>
  <c r="E26" i="8"/>
  <c r="B19" i="10"/>
  <c r="J103" i="4"/>
  <c r="E3" i="7" s="1"/>
  <c r="E3" i="9" s="1"/>
  <c r="E3" i="10"/>
  <c r="E17" i="10" s="1"/>
  <c r="I103" i="4"/>
  <c r="E3" i="6" s="1"/>
  <c r="E3" i="8" s="1"/>
  <c r="D46" i="5"/>
  <c r="E14" i="6"/>
  <c r="D36" i="6"/>
  <c r="D36" i="8" s="1"/>
  <c r="D33" i="8"/>
  <c r="B36" i="7"/>
  <c r="B33" i="9"/>
  <c r="G14" i="7"/>
  <c r="G13" i="7" s="1"/>
  <c r="G13" i="9" s="1"/>
  <c r="E14" i="9"/>
  <c r="D20" i="12"/>
  <c r="B38" i="8"/>
  <c r="G9" i="9"/>
  <c r="H10" i="7"/>
  <c r="E19" i="7"/>
  <c r="E20" i="7" s="1"/>
  <c r="B30" i="5"/>
  <c r="B10" i="6"/>
  <c r="B10" i="8" s="1"/>
  <c r="B101" i="4"/>
  <c r="C101" i="4"/>
  <c r="B6" i="11" s="1"/>
  <c r="B17" i="11" s="1"/>
  <c r="E18" i="11" s="1"/>
  <c r="E27" i="7"/>
  <c r="B27" i="9"/>
  <c r="E27" i="9" s="1"/>
  <c r="I10" i="7"/>
  <c r="G10" i="9"/>
  <c r="I10" i="9" s="1"/>
  <c r="H6" i="7"/>
  <c r="B32" i="8"/>
  <c r="D21" i="12"/>
  <c r="B36" i="8"/>
  <c r="B40" i="6"/>
  <c r="J114" i="4"/>
  <c r="I114" i="4"/>
  <c r="H11" i="10"/>
  <c r="E19" i="10"/>
  <c r="E20" i="10" s="1"/>
  <c r="F20" i="10" s="1"/>
  <c r="J111" i="4"/>
  <c r="B39" i="7" s="1"/>
  <c r="B39" i="9" s="1"/>
  <c r="I111" i="4"/>
  <c r="B39" i="6" s="1"/>
  <c r="E9" i="6"/>
  <c r="E9" i="8" s="1"/>
  <c r="D35" i="5"/>
  <c r="I6" i="5" s="1"/>
  <c r="I10" i="5" s="1"/>
  <c r="I115" i="4"/>
  <c r="D25" i="12" s="1"/>
  <c r="I11" i="10"/>
  <c r="G13" i="11"/>
  <c r="D31" i="12"/>
  <c r="B34" i="8"/>
  <c r="G13" i="10"/>
  <c r="B16" i="6"/>
  <c r="B16" i="8" s="1"/>
  <c r="B44" i="5"/>
  <c r="I97" i="4"/>
  <c r="B2" i="6" s="1"/>
  <c r="B2" i="10"/>
  <c r="J97" i="4"/>
  <c r="B2" i="7" s="1"/>
  <c r="J98" i="4"/>
  <c r="B3" i="7" s="1"/>
  <c r="D18" i="12" l="1"/>
  <c r="E17" i="6"/>
  <c r="B21" i="7"/>
  <c r="F21" i="7" s="1"/>
  <c r="E14" i="8"/>
  <c r="G14" i="6"/>
  <c r="G13" i="6" s="1"/>
  <c r="G13" i="8" s="1"/>
  <c r="B3" i="8"/>
  <c r="B19" i="8" s="1"/>
  <c r="B19" i="6"/>
  <c r="F19" i="6" s="1"/>
  <c r="D33" i="12" s="1"/>
  <c r="B40" i="8"/>
  <c r="D19" i="12"/>
  <c r="B19" i="7"/>
  <c r="F19" i="7" s="1"/>
  <c r="B3" i="9"/>
  <c r="B19" i="9" s="1"/>
  <c r="B39" i="8"/>
  <c r="D30" i="12"/>
  <c r="B6" i="10"/>
  <c r="B17" i="10" s="1"/>
  <c r="E18" i="10" s="1"/>
  <c r="I101" i="4"/>
  <c r="B6" i="6" s="1"/>
  <c r="B6" i="8" s="1"/>
  <c r="J101" i="4"/>
  <c r="B6" i="7" s="1"/>
  <c r="B6" i="9" s="1"/>
  <c r="G14" i="9"/>
  <c r="H14" i="9" s="1"/>
  <c r="B20" i="6"/>
  <c r="F20" i="6" s="1"/>
  <c r="D34" i="12" s="1"/>
  <c r="B11" i="8"/>
  <c r="B20" i="8" s="1"/>
  <c r="I10" i="8"/>
  <c r="B2" i="9"/>
  <c r="B21" i="6"/>
  <c r="F21" i="6" s="1"/>
  <c r="D35" i="12" s="1"/>
  <c r="E17" i="9"/>
  <c r="B36" i="9"/>
  <c r="B40" i="7"/>
  <c r="B40" i="9" s="1"/>
  <c r="H10" i="8"/>
  <c r="E19" i="8"/>
  <c r="E20" i="8" s="1"/>
  <c r="E17" i="7"/>
  <c r="E17" i="8"/>
  <c r="B2" i="8"/>
  <c r="E20" i="11"/>
  <c r="F20" i="11" s="1"/>
  <c r="F19" i="11"/>
  <c r="F20" i="7"/>
  <c r="H10" i="9"/>
  <c r="E19" i="9"/>
  <c r="E20" i="9" s="1"/>
  <c r="F20" i="9" s="1"/>
  <c r="F19" i="10"/>
  <c r="F19" i="8" l="1"/>
  <c r="F19" i="9"/>
  <c r="B17" i="6"/>
  <c r="E18" i="6" s="1"/>
  <c r="B17" i="8"/>
  <c r="E18" i="8" s="1"/>
  <c r="B17" i="7"/>
  <c r="E18" i="7" s="1"/>
  <c r="B17" i="9"/>
  <c r="E18" i="9" s="1"/>
  <c r="F20" i="8"/>
  <c r="G14" i="8"/>
  <c r="H1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 Wang</author>
  </authors>
  <commentList>
    <comment ref="H6" authorId="0" shapeId="0" xr:uid="{00000000-0006-0000-0500-000001000000}">
      <text>
        <r>
          <rPr>
            <b/>
            <sz val="9"/>
            <color rgb="FF000000"/>
            <rFont val="宋体"/>
            <family val="3"/>
            <charset val="134"/>
          </rPr>
          <t>Shan Wang: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偿付利息金额。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 Wang</author>
  </authors>
  <commentList>
    <comment ref="H6" authorId="0" shapeId="0" xr:uid="{00000000-0006-0000-0600-000001000000}">
      <text>
        <r>
          <rPr>
            <b/>
            <sz val="9"/>
            <color rgb="FF000000"/>
            <rFont val="宋体"/>
            <family val="3"/>
            <charset val="134"/>
          </rPr>
          <t>Shan Wang: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偿付利息金额。</t>
        </r>
      </text>
    </comment>
  </commentList>
</comments>
</file>

<file path=xl/sharedStrings.xml><?xml version="1.0" encoding="utf-8"?>
<sst xmlns="http://schemas.openxmlformats.org/spreadsheetml/2006/main" count="1098" uniqueCount="587">
  <si>
    <t>报表日期</t>
  </si>
  <si>
    <t>单位</t>
  </si>
  <si>
    <t>元</t>
  </si>
  <si>
    <t>流动资产</t>
  </si>
  <si>
    <t>货币资金</t>
  </si>
  <si>
    <t>交易性金融资产</t>
  </si>
  <si>
    <t>衍生金融资产</t>
  </si>
  <si>
    <t>应收票据</t>
  </si>
  <si>
    <t>应收账款</t>
  </si>
  <si>
    <t>应收款项融资</t>
  </si>
  <si>
    <t>预付款项</t>
  </si>
  <si>
    <t>应收利息</t>
  </si>
  <si>
    <t>应收股利</t>
  </si>
  <si>
    <t>其他应收款</t>
  </si>
  <si>
    <t>买入返售金融资产</t>
  </si>
  <si>
    <t>存货</t>
  </si>
  <si>
    <t>一年内到期的非流动资产</t>
  </si>
  <si>
    <t>待摊费用</t>
  </si>
  <si>
    <t>待处理流动资产损益</t>
  </si>
  <si>
    <t>其他流动资产</t>
  </si>
  <si>
    <t>流动资产合计</t>
  </si>
  <si>
    <t>非流动资产</t>
  </si>
  <si>
    <t>发放贷款及垫款</t>
  </si>
  <si>
    <t>长期股权投资</t>
  </si>
  <si>
    <t>投资性房地产</t>
  </si>
  <si>
    <t>在建工程</t>
  </si>
  <si>
    <t>工程物资</t>
  </si>
  <si>
    <t>固定资产净额</t>
  </si>
  <si>
    <t>固定资产清理</t>
  </si>
  <si>
    <t>生产性生物资产</t>
  </si>
  <si>
    <t>公益性生物资产</t>
  </si>
  <si>
    <t>油气资产</t>
  </si>
  <si>
    <t>使用权资产</t>
  </si>
  <si>
    <t>无形资产</t>
  </si>
  <si>
    <t>开发支出</t>
  </si>
  <si>
    <t>商誉</t>
  </si>
  <si>
    <t>长期待摊费用</t>
  </si>
  <si>
    <t>递延所得税资产</t>
  </si>
  <si>
    <t>其他非流动资产</t>
  </si>
  <si>
    <t>非流动资产合计</t>
  </si>
  <si>
    <t>资产总计</t>
  </si>
  <si>
    <t>流动负债</t>
  </si>
  <si>
    <t>短期借款</t>
  </si>
  <si>
    <t>交易性金融负债</t>
  </si>
  <si>
    <t>应付票据</t>
  </si>
  <si>
    <t>应付账款</t>
  </si>
  <si>
    <t>应付职工薪酬</t>
  </si>
  <si>
    <t>应交税费</t>
  </si>
  <si>
    <t>应付利息</t>
  </si>
  <si>
    <t>应付股利</t>
  </si>
  <si>
    <t>其他应付款</t>
  </si>
  <si>
    <t>预提费用</t>
  </si>
  <si>
    <t>一年内的递延收益</t>
  </si>
  <si>
    <t>应付短期债券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</si>
  <si>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</si>
  <si>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</si>
  <si>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</si>
  <si>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</si>
  <si>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</si>
  <si>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</si>
  <si>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租赁负债</t>
  </si>
  <si>
    <t>长期应付职工薪酬</t>
  </si>
  <si>
    <t>长期应付款</t>
  </si>
  <si>
    <t>专项应付款</t>
  </si>
  <si>
    <t>预计非流动负债</t>
  </si>
  <si>
    <t>递延所得税负债</t>
  </si>
  <si>
    <t>长期递延收益</t>
  </si>
  <si>
    <t>其他非流动负债</t>
  </si>
  <si>
    <t>非流动负债合计</t>
  </si>
  <si>
    <t>负债合计</t>
  </si>
  <si>
    <t>所有者权益</t>
  </si>
  <si>
    <t>实收资本(或股本)</t>
  </si>
  <si>
    <t>资本公积</t>
  </si>
  <si>
    <t>减：库存股</t>
  </si>
  <si>
    <t>其他综合收益</t>
  </si>
  <si>
    <t>专项储备</t>
  </si>
  <si>
    <t>盈余公积</t>
  </si>
  <si>
    <t>一般风险准备</t>
  </si>
  <si>
    <t>未分配利润</t>
  </si>
  <si>
    <t>归属于母公司股东权益合计</t>
  </si>
  <si>
    <t>少数股东权益</t>
  </si>
  <si>
    <t>所有者权益(或股东权益)合计</t>
  </si>
  <si>
    <t>负债和所有者权益(或股东权益)总计</t>
  </si>
  <si>
    <t>现金及现金等价物的净增加额</t>
  </si>
  <si>
    <t>现金等价物的期初余额</t>
  </si>
  <si>
    <t>现金等价物的期末余额</t>
  </si>
  <si>
    <t>现金的期初余额</t>
  </si>
  <si>
    <t>现金的期末余额</t>
  </si>
  <si>
    <t>融资租入固定资产</t>
  </si>
  <si>
    <t>一年内到期的可转换公司债券</t>
  </si>
  <si>
    <t>债务转为资本</t>
  </si>
  <si>
    <t>经营活动产生现金流量净额</t>
  </si>
  <si>
    <t>其他</t>
  </si>
  <si>
    <t>已结算尚未完工款的增加(减:减少)</t>
  </si>
  <si>
    <t>已完工尚未结算款的减少(减:增加)</t>
  </si>
  <si>
    <t>经营性应付项目的增加</t>
  </si>
  <si>
    <t>经营性应收项目的减少</t>
  </si>
  <si>
    <t>存货的减少</t>
  </si>
  <si>
    <t>递延所得税负债增加</t>
  </si>
  <si>
    <t>递延所得税资产减少</t>
  </si>
  <si>
    <t>投资损失</t>
  </si>
  <si>
    <t>财务费用</t>
  </si>
  <si>
    <t>预计负债</t>
  </si>
  <si>
    <t>公允价值变动损失</t>
  </si>
  <si>
    <t>固定资产报废损失</t>
  </si>
  <si>
    <t>处置固定资产、无形资产和其他长期资产的损失</t>
  </si>
  <si>
    <t>预提费用的增加</t>
  </si>
  <si>
    <t>待摊费用的减少</t>
  </si>
  <si>
    <t>长期待摊费用摊销</t>
  </si>
  <si>
    <t>无形资产摊销</t>
  </si>
  <si>
    <t>固定资产折旧、油气资产折耗、生产性物资折旧</t>
  </si>
  <si>
    <t>资产减值准备</t>
  </si>
  <si>
    <t>未确认的投资损失</t>
  </si>
  <si>
    <t>净利润</t>
  </si>
  <si>
    <t>附注</t>
  </si>
  <si>
    <t>六、期末现金及现金等价物余额</t>
  </si>
  <si>
    <t>加:期初现金及现金等价物余额</t>
  </si>
  <si>
    <t>五、现金及现金等价物净增加额</t>
  </si>
  <si>
    <t>四、汇率变动对现金及现金等价物的影响</t>
  </si>
  <si>
    <t>筹资活动产生的现金流量净额</t>
  </si>
  <si>
    <t>筹资活动现金流出小计</t>
  </si>
  <si>
    <t>支付其他与筹资活动有关的现金</t>
  </si>
  <si>
    <t>其中：子公司支付给少数股东的股利、利润</t>
  </si>
  <si>
    <t>分配股利、利润或偿付利息所支付的现金</t>
  </si>
  <si>
    <t>偿还债务支付的现金</t>
  </si>
  <si>
    <t>筹资活动现金流入小计</t>
  </si>
  <si>
    <t>收到其他与筹资活动有关的现金</t>
  </si>
  <si>
    <t>发行债券收到的现金</t>
  </si>
  <si>
    <t>取得借款收到的现金</t>
  </si>
  <si>
    <t>其中：子公司吸收少数股东投资收到的现金</t>
  </si>
  <si>
    <t>吸收投资收到的现金</t>
  </si>
  <si>
    <t>三、筹资活动产生的现金流量</t>
  </si>
  <si>
    <t>投资活动产生的现金流量净额</t>
  </si>
  <si>
    <t>投资活动现金流出小计</t>
  </si>
  <si>
    <t>支付的其他与投资活动有关的现金</t>
  </si>
  <si>
    <t>取得子公司及其他营业单位支付的现金净额</t>
  </si>
  <si>
    <t>投资所支付的现金</t>
  </si>
  <si>
    <t>购建固定资产、无形资产和其他长期资产所支付的现金</t>
  </si>
  <si>
    <t>投资活动现金流入小计</t>
  </si>
  <si>
    <t>收到的其他与投资活动有关的现金</t>
  </si>
  <si>
    <t>处置子公司及其他营业单位收到的现金净额</t>
  </si>
  <si>
    <t>处置固定资产、无形资产和其他长期资产所收回的现金净额</t>
  </si>
  <si>
    <t>取得投资收益所收到的现金</t>
  </si>
  <si>
    <t>收回投资所收到的现金</t>
  </si>
  <si>
    <t>二、投资活动产生的现金流量</t>
  </si>
  <si>
    <t>经营活动产生的现金流量净额</t>
  </si>
  <si>
    <t>经营活动现金流出小计</t>
  </si>
  <si>
    <t>支付的其他与经营活动有关的现金</t>
  </si>
  <si>
    <t>支付的各项税费</t>
  </si>
  <si>
    <t>支付给职工以及为职工支付的现金</t>
  </si>
  <si>
    <t>购买商品、接受劳务支付的现金</t>
  </si>
  <si>
    <t>经营活动现金流入小计</t>
  </si>
  <si>
    <t>收到的其他与经营活动有关的现金</t>
  </si>
  <si>
    <t>收到的税费返还</t>
  </si>
  <si>
    <t>销售商品、提供劳务收到的现金</t>
  </si>
  <si>
    <t>一、经营活动产生的现金流量</t>
  </si>
  <si>
    <t>归属于少数股东的综合收益总额</t>
  </si>
  <si>
    <t>归属于母公司所有者的综合收益总额</t>
  </si>
  <si>
    <t>八、综合收益总额</t>
  </si>
  <si>
    <t>七、其他综合收益</t>
  </si>
  <si>
    <t>稀释每股收益(元/股)</t>
  </si>
  <si>
    <t>基本每股收益(元/股)</t>
  </si>
  <si>
    <t>六、每股收益</t>
  </si>
  <si>
    <t>少数股东损益</t>
  </si>
  <si>
    <t>归属于母公司所有者的净利润</t>
  </si>
  <si>
    <t>五、净利润</t>
  </si>
  <si>
    <t>减：所得税费用</t>
  </si>
  <si>
    <t>四、利润总额</t>
  </si>
  <si>
    <t>其中：非流动资产处置损失</t>
  </si>
  <si>
    <t>减：营业外支出</t>
  </si>
  <si>
    <t>加:营业外收入</t>
  </si>
  <si>
    <t>三、营业利润</t>
  </si>
  <si>
    <t>汇兑收益</t>
  </si>
  <si>
    <t>其中:对联营企业和合营企业的投资收益</t>
  </si>
  <si>
    <t>投资收益</t>
  </si>
  <si>
    <t>公允价值变动收益</t>
  </si>
  <si>
    <t>资产减值损失</t>
  </si>
  <si>
    <t>研发费用</t>
  </si>
  <si>
    <t>管理费用</t>
  </si>
  <si>
    <t>销售费用</t>
  </si>
  <si>
    <t>营业税金及附加</t>
  </si>
  <si>
    <t>营业成本</t>
  </si>
  <si>
    <t>二、营业总成本</t>
  </si>
  <si>
    <t>营业收入</t>
  </si>
  <si>
    <t>一、营业总收入</t>
  </si>
  <si>
    <t>报表日期</t>
    <phoneticPr fontId="18" type="noConversion"/>
  </si>
  <si>
    <t>应收票据及应收账款8+9</t>
    <phoneticPr fontId="18" type="noConversion"/>
  </si>
  <si>
    <t>其他应收款(合计)13+14+15</t>
    <phoneticPr fontId="18" type="noConversion"/>
  </si>
  <si>
    <t>划分为持有待售的资产（合同资产）</t>
    <phoneticPr fontId="18" type="noConversion"/>
  </si>
  <si>
    <t>可供出售金融资产（其他权益工具投资）</t>
    <phoneticPr fontId="18" type="noConversion"/>
  </si>
  <si>
    <t>持有至到期投资（其他非流动金融资产）</t>
    <phoneticPr fontId="18" type="noConversion"/>
  </si>
  <si>
    <t>长期应收款（债权投资）</t>
    <phoneticPr fontId="18" type="noConversion"/>
  </si>
  <si>
    <t>在建工程(合计)32+33</t>
    <phoneticPr fontId="18" type="noConversion"/>
  </si>
  <si>
    <t>固定资产及清理(合计)35+36</t>
    <phoneticPr fontId="18" type="noConversion"/>
  </si>
  <si>
    <t>应付票据及应付账款53+54</t>
    <phoneticPr fontId="18" type="noConversion"/>
  </si>
  <si>
    <t>预收款项</t>
    <phoneticPr fontId="18" type="noConversion"/>
  </si>
  <si>
    <t>应付手续费及佣金（合同负债）</t>
    <phoneticPr fontId="18" type="noConversion"/>
  </si>
  <si>
    <t>其他应付款(合计)60+61+62</t>
    <phoneticPr fontId="18" type="noConversion"/>
  </si>
  <si>
    <t>长期应付款(合计)75+76</t>
    <phoneticPr fontId="18" type="noConversion"/>
  </si>
  <si>
    <t>实际资产负债率</t>
  </si>
  <si>
    <t>FA&amp;CIP占比资产总额</t>
  </si>
  <si>
    <t>商誉占比归属股东权益</t>
    <phoneticPr fontId="21" type="noConversion"/>
  </si>
  <si>
    <t>FA&amp;CIP净额</t>
  </si>
  <si>
    <t>FA&amp;CIP净额-合计1</t>
    <phoneticPr fontId="18" type="noConversion"/>
  </si>
  <si>
    <t>FA&amp;CIP净额-合计2</t>
    <phoneticPr fontId="18" type="noConversion"/>
  </si>
  <si>
    <t>权益乘数=资产总额/所有者权益</t>
    <phoneticPr fontId="18" type="noConversion"/>
  </si>
  <si>
    <t>产权比率=负债总额/归属股东权益</t>
    <phoneticPr fontId="18" type="noConversion"/>
  </si>
  <si>
    <t>TRIBB2023YE-2016YE</t>
    <phoneticPr fontId="18" type="noConversion"/>
  </si>
  <si>
    <t>DIFF</t>
    <phoneticPr fontId="18" type="noConversion"/>
  </si>
  <si>
    <t>毛利率</t>
  </si>
  <si>
    <t>净利润率</t>
  </si>
  <si>
    <t>所得税率</t>
    <phoneticPr fontId="21" type="noConversion"/>
  </si>
  <si>
    <t>研发费用占比总营业收入%</t>
    <phoneticPr fontId="18" type="noConversion"/>
  </si>
  <si>
    <t>单季数据</t>
  </si>
  <si>
    <t>研发费用</t>
    <phoneticPr fontId="18" type="noConversion"/>
  </si>
  <si>
    <t>净利率</t>
  </si>
  <si>
    <t>∆单季营收同比%</t>
  </si>
  <si>
    <t>∆单季归属净利同比%</t>
  </si>
  <si>
    <t>2017-2023</t>
    <phoneticPr fontId="18" type="noConversion"/>
  </si>
  <si>
    <t>2019-2023</t>
    <phoneticPr fontId="18" type="noConversion"/>
  </si>
  <si>
    <t>2021-2023</t>
    <phoneticPr fontId="18" type="noConversion"/>
  </si>
  <si>
    <t>最近7年合计</t>
    <phoneticPr fontId="18" type="noConversion"/>
  </si>
  <si>
    <t>最近5年合计</t>
    <phoneticPr fontId="18" type="noConversion"/>
  </si>
  <si>
    <t>最近3年合计</t>
    <phoneticPr fontId="18" type="noConversion"/>
  </si>
  <si>
    <t>递延收益增加（减：减少）</t>
    <phoneticPr fontId="18" type="noConversion"/>
  </si>
  <si>
    <t>自由现金流1=LINE13-LINE21</t>
    <phoneticPr fontId="18" type="noConversion"/>
  </si>
  <si>
    <t>自由现金流2</t>
    <phoneticPr fontId="18" type="noConversion"/>
  </si>
  <si>
    <t>上市公司净值</t>
    <phoneticPr fontId="18" type="noConversion"/>
  </si>
  <si>
    <t>2017-2023</t>
    <phoneticPr fontId="27" type="noConversion"/>
  </si>
  <si>
    <r>
      <rPr>
        <sz val="11"/>
        <color theme="1"/>
        <rFont val="Calibri"/>
        <family val="2"/>
      </rPr>
      <t>∆</t>
    </r>
    <r>
      <rPr>
        <sz val="12"/>
        <color theme="1"/>
        <rFont val="等线"/>
        <family val="2"/>
        <charset val="134"/>
        <scheme val="minor"/>
      </rPr>
      <t>流动资产</t>
    </r>
  </si>
  <si>
    <t>∆货币资金</t>
  </si>
  <si>
    <t>∆交易性金融资产</t>
  </si>
  <si>
    <t>∆衍生金融资产</t>
  </si>
  <si>
    <t>∆应收票据及应收账款8+9</t>
  </si>
  <si>
    <t>∆应收票据</t>
  </si>
  <si>
    <t>∆应收账款</t>
  </si>
  <si>
    <r>
      <rPr>
        <b/>
        <sz val="11"/>
        <color theme="1"/>
        <rFont val="微软雅黑"/>
        <family val="2"/>
        <charset val="134"/>
      </rPr>
      <t>∆</t>
    </r>
    <r>
      <rPr>
        <b/>
        <sz val="11"/>
        <color theme="1"/>
        <rFont val="等线"/>
        <family val="3"/>
        <charset val="134"/>
        <scheme val="minor"/>
      </rPr>
      <t>应收款项融资</t>
    </r>
    <phoneticPr fontId="18" type="noConversion"/>
  </si>
  <si>
    <t>∆预付款项</t>
  </si>
  <si>
    <r>
      <rPr>
        <b/>
        <sz val="11"/>
        <color theme="1"/>
        <rFont val="微软雅黑"/>
        <family val="2"/>
        <charset val="134"/>
      </rPr>
      <t>∆</t>
    </r>
    <r>
      <rPr>
        <b/>
        <i/>
        <sz val="11"/>
        <color theme="1"/>
        <rFont val="等线"/>
        <family val="3"/>
        <charset val="134"/>
        <scheme val="minor"/>
      </rPr>
      <t>其他应收款(合计)13+14+15</t>
    </r>
    <phoneticPr fontId="18" type="noConversion"/>
  </si>
  <si>
    <t>∆应收利息</t>
  </si>
  <si>
    <t>∆应收股利</t>
  </si>
  <si>
    <t>∆其他应收款</t>
  </si>
  <si>
    <t>∆买入返售金融资产</t>
  </si>
  <si>
    <t>∆存货</t>
  </si>
  <si>
    <t>∆划分为持有待售的资产</t>
  </si>
  <si>
    <t>∆一年内到期的非流动资产</t>
  </si>
  <si>
    <t>∆待摊费用</t>
  </si>
  <si>
    <t>∆待处理流动资产损益</t>
  </si>
  <si>
    <t>∆其他流动资产</t>
  </si>
  <si>
    <t>∆流动资产合计</t>
  </si>
  <si>
    <t>∆非流动资产</t>
  </si>
  <si>
    <t>∆发放贷款及垫款</t>
  </si>
  <si>
    <t>∆可供出售金融资产</t>
  </si>
  <si>
    <t>∆持有至到期投资</t>
  </si>
  <si>
    <t>∆长期应收款</t>
  </si>
  <si>
    <t>∆长期股权投资</t>
  </si>
  <si>
    <t>∆投资性房地产</t>
  </si>
  <si>
    <r>
      <rPr>
        <b/>
        <sz val="11"/>
        <color theme="1"/>
        <rFont val="微软雅黑"/>
        <family val="2"/>
        <charset val="134"/>
      </rPr>
      <t>∆</t>
    </r>
    <r>
      <rPr>
        <b/>
        <i/>
        <sz val="11"/>
        <color theme="1"/>
        <rFont val="等线"/>
        <family val="3"/>
        <charset val="134"/>
        <scheme val="minor"/>
      </rPr>
      <t>在建工程(合计)32+33</t>
    </r>
    <phoneticPr fontId="18" type="noConversion"/>
  </si>
  <si>
    <t>∆在建工程</t>
  </si>
  <si>
    <t>∆工程物资</t>
  </si>
  <si>
    <r>
      <rPr>
        <b/>
        <sz val="11"/>
        <color theme="1"/>
        <rFont val="微软雅黑"/>
        <family val="2"/>
        <charset val="134"/>
      </rPr>
      <t>∆</t>
    </r>
    <r>
      <rPr>
        <b/>
        <i/>
        <sz val="11"/>
        <color theme="1"/>
        <rFont val="等线"/>
        <family val="3"/>
        <charset val="134"/>
        <scheme val="minor"/>
      </rPr>
      <t>固定资产及清理(合计)35+36</t>
    </r>
    <phoneticPr fontId="18" type="noConversion"/>
  </si>
  <si>
    <t>∆固定资产净额</t>
  </si>
  <si>
    <t>∆固定资产清理</t>
  </si>
  <si>
    <t>∆生产性生物资产</t>
  </si>
  <si>
    <t>∆公益性生物资产</t>
  </si>
  <si>
    <t>∆油气资产</t>
  </si>
  <si>
    <r>
      <rPr>
        <b/>
        <sz val="11"/>
        <color theme="1"/>
        <rFont val="微软雅黑"/>
        <family val="2"/>
        <charset val="134"/>
      </rPr>
      <t>∆</t>
    </r>
    <r>
      <rPr>
        <b/>
        <sz val="11"/>
        <color theme="1"/>
        <rFont val="等线"/>
        <family val="3"/>
        <charset val="134"/>
        <scheme val="minor"/>
      </rPr>
      <t>使用权资产</t>
    </r>
    <phoneticPr fontId="18" type="noConversion"/>
  </si>
  <si>
    <t>∆无形资产</t>
  </si>
  <si>
    <t>∆开发支出</t>
  </si>
  <si>
    <t>∆商誉</t>
  </si>
  <si>
    <t>∆长期待摊费用</t>
  </si>
  <si>
    <t>∆递延所得税资产</t>
  </si>
  <si>
    <t>∆其他非流动资产</t>
  </si>
  <si>
    <t>∆非流动资产合计</t>
  </si>
  <si>
    <t>∆资产总计</t>
  </si>
  <si>
    <t>∆流动负债</t>
  </si>
  <si>
    <t>∆短期借款</t>
  </si>
  <si>
    <t>∆交易性金融负债</t>
  </si>
  <si>
    <r>
      <rPr>
        <b/>
        <sz val="11"/>
        <color theme="1"/>
        <rFont val="微软雅黑"/>
        <family val="2"/>
        <charset val="134"/>
      </rPr>
      <t>∆</t>
    </r>
    <r>
      <rPr>
        <b/>
        <i/>
        <sz val="11"/>
        <color theme="1"/>
        <rFont val="等线"/>
        <family val="3"/>
        <charset val="134"/>
        <scheme val="minor"/>
      </rPr>
      <t>应付票据及应付账款53+54</t>
    </r>
    <phoneticPr fontId="18" type="noConversion"/>
  </si>
  <si>
    <t>∆应付票据</t>
  </si>
  <si>
    <t>∆应付账款</t>
  </si>
  <si>
    <t>∆预收款项</t>
  </si>
  <si>
    <t>∆应付手续费及佣金</t>
  </si>
  <si>
    <t>∆应付职工薪酬</t>
  </si>
  <si>
    <t>∆应交税费</t>
  </si>
  <si>
    <r>
      <rPr>
        <b/>
        <sz val="11"/>
        <color theme="1"/>
        <rFont val="微软雅黑"/>
        <family val="2"/>
        <charset val="134"/>
      </rPr>
      <t>∆</t>
    </r>
    <r>
      <rPr>
        <b/>
        <i/>
        <sz val="11"/>
        <color theme="1"/>
        <rFont val="等线"/>
        <family val="3"/>
        <charset val="134"/>
        <scheme val="minor"/>
      </rPr>
      <t>其他应付款(合计)60+61+62</t>
    </r>
    <phoneticPr fontId="18" type="noConversion"/>
  </si>
  <si>
    <t>∆应付利息</t>
  </si>
  <si>
    <t>∆应付股利</t>
  </si>
  <si>
    <t>∆其他应付款</t>
  </si>
  <si>
    <t>∆预提费用</t>
  </si>
  <si>
    <t>∆一年内的递延收益</t>
  </si>
  <si>
    <t>∆应付短期债券</t>
  </si>
  <si>
    <t>∆一年内到期的非流动负债</t>
  </si>
  <si>
    <t>∆其他流动负债</t>
  </si>
  <si>
    <t>∆流动负债合计</t>
  </si>
  <si>
    <t>∆非流动负债</t>
  </si>
  <si>
    <t>∆长期借款</t>
  </si>
  <si>
    <t>∆应付债券</t>
  </si>
  <si>
    <r>
      <rPr>
        <b/>
        <sz val="11"/>
        <color theme="1"/>
        <rFont val="微软雅黑"/>
        <family val="2"/>
        <charset val="134"/>
      </rPr>
      <t>∆</t>
    </r>
    <r>
      <rPr>
        <b/>
        <sz val="11"/>
        <color theme="1"/>
        <rFont val="等线"/>
        <family val="3"/>
        <charset val="134"/>
        <scheme val="minor"/>
      </rPr>
      <t>租赁负债</t>
    </r>
    <phoneticPr fontId="18" type="noConversion"/>
  </si>
  <si>
    <t>∆长期应付职工薪酬</t>
  </si>
  <si>
    <r>
      <rPr>
        <b/>
        <sz val="11"/>
        <color theme="1"/>
        <rFont val="微软雅黑"/>
        <family val="2"/>
        <charset val="134"/>
      </rPr>
      <t>∆</t>
    </r>
    <r>
      <rPr>
        <b/>
        <i/>
        <sz val="11"/>
        <color theme="1"/>
        <rFont val="等线"/>
        <family val="3"/>
        <charset val="134"/>
        <scheme val="minor"/>
      </rPr>
      <t>长期应付款(合计)75+76</t>
    </r>
    <phoneticPr fontId="18" type="noConversion"/>
  </si>
  <si>
    <t>∆长期应付款</t>
  </si>
  <si>
    <t>∆专项应付款</t>
  </si>
  <si>
    <t>∆预计非流动负债</t>
  </si>
  <si>
    <t>∆递延所得税负债</t>
  </si>
  <si>
    <t>∆长期递延收益</t>
  </si>
  <si>
    <t>∆其他非流动负债</t>
  </si>
  <si>
    <t>∆非流动负债合计</t>
  </si>
  <si>
    <t>∆负债合计</t>
  </si>
  <si>
    <t>∆所有者权益</t>
  </si>
  <si>
    <t>∆实收资本(或股本)</t>
  </si>
  <si>
    <t>∆资本公积</t>
  </si>
  <si>
    <t>∆减：库存股</t>
  </si>
  <si>
    <t>∆其他综合收益</t>
  </si>
  <si>
    <t>∆专项储备</t>
  </si>
  <si>
    <t>∆盈余公积</t>
  </si>
  <si>
    <t>∆一般风险准备</t>
  </si>
  <si>
    <t>∆未分配利润</t>
  </si>
  <si>
    <t>∆归属于母公司股东权益合计</t>
  </si>
  <si>
    <t>∆少数股东权益</t>
  </si>
  <si>
    <t>∆所有者权益(或股东权益)合计</t>
  </si>
  <si>
    <t>∆负债和所有者权益(或股东权益)总计</t>
  </si>
  <si>
    <t>Δ货币资金及等价物</t>
    <phoneticPr fontId="18" type="noConversion"/>
  </si>
  <si>
    <t>Δ应收账款-Δ应付账款-A</t>
    <phoneticPr fontId="18" type="noConversion"/>
  </si>
  <si>
    <t>Δ其他应收款-Δ其他应付款-B</t>
    <phoneticPr fontId="18" type="noConversion"/>
  </si>
  <si>
    <t>Δ存货-C</t>
    <phoneticPr fontId="18" type="noConversion"/>
  </si>
  <si>
    <t>Δ其他营运资本项目净值-D</t>
    <phoneticPr fontId="18" type="noConversion"/>
  </si>
  <si>
    <t>Δ短期借款</t>
    <phoneticPr fontId="18" type="noConversion"/>
  </si>
  <si>
    <t>Δ预收账款-Δ预付账款-F</t>
    <phoneticPr fontId="18" type="noConversion"/>
  </si>
  <si>
    <t>归属净利润</t>
    <phoneticPr fontId="27" type="noConversion"/>
  </si>
  <si>
    <t>现金分红</t>
    <phoneticPr fontId="27" type="noConversion"/>
  </si>
  <si>
    <t>增发</t>
    <phoneticPr fontId="27" type="noConversion"/>
  </si>
  <si>
    <t>对归属权益的贡献</t>
    <phoneticPr fontId="27" type="noConversion"/>
  </si>
  <si>
    <t>与资产负债表归属权益变动差异</t>
    <phoneticPr fontId="27" type="noConversion"/>
  </si>
  <si>
    <r>
      <t>企业经营现金流=净利润-</t>
    </r>
    <r>
      <rPr>
        <b/>
        <sz val="11"/>
        <color theme="1"/>
        <rFont val="等线"/>
        <family val="2"/>
        <scheme val="minor"/>
      </rPr>
      <t>（应收-应付)-</t>
    </r>
    <r>
      <rPr>
        <b/>
        <sz val="11"/>
        <color theme="1"/>
        <rFont val="等线"/>
        <family val="3"/>
        <charset val="134"/>
        <scheme val="minor"/>
      </rPr>
      <t>存货</t>
    </r>
    <phoneticPr fontId="27" type="noConversion"/>
  </si>
  <si>
    <t>现金流量表中的“自由现金流”</t>
  </si>
  <si>
    <t>经营现金流量净额</t>
    <phoneticPr fontId="27" type="noConversion"/>
  </si>
  <si>
    <t>经营净现金流超过归属净利润的金额</t>
    <phoneticPr fontId="27" type="noConversion"/>
  </si>
  <si>
    <t>自由现金流占比营业收入%</t>
  </si>
  <si>
    <t>营业收入（非营业总收入）</t>
    <phoneticPr fontId="27" type="noConversion"/>
  </si>
  <si>
    <t>利息费用(财务费用）</t>
    <phoneticPr fontId="27" type="noConversion"/>
  </si>
  <si>
    <t>应收账款期末值</t>
  </si>
  <si>
    <t>存货期末值</t>
    <phoneticPr fontId="27" type="noConversion"/>
  </si>
  <si>
    <t>固定资产&amp;CIP净额合计</t>
    <phoneticPr fontId="21" type="noConversion"/>
  </si>
  <si>
    <t>归属股东权益期末值</t>
    <phoneticPr fontId="27" type="noConversion"/>
  </si>
  <si>
    <t>资产总额</t>
    <phoneticPr fontId="27" type="noConversion"/>
  </si>
  <si>
    <t>应收账款周转率=销售收入/期末应收账款</t>
  </si>
  <si>
    <t>存货周转率=销售收入/期末存货</t>
    <phoneticPr fontId="27" type="noConversion"/>
  </si>
  <si>
    <t>总资产收益率=(归属净利+利息费用）/资产总额</t>
    <phoneticPr fontId="27" type="noConversion"/>
  </si>
  <si>
    <t>ROE=归属净利/归属股东权益</t>
    <phoneticPr fontId="27" type="noConversion"/>
  </si>
  <si>
    <t>实际资产负债率</t>
    <phoneticPr fontId="18" type="noConversion"/>
  </si>
  <si>
    <t>毛利率</t>
    <phoneticPr fontId="21" type="noConversion"/>
  </si>
  <si>
    <t>净利润率</t>
    <phoneticPr fontId="21" type="noConversion"/>
  </si>
  <si>
    <r>
      <t>购建-</t>
    </r>
    <r>
      <rPr>
        <sz val="11"/>
        <color theme="1"/>
        <rFont val="Calibri"/>
        <family val="2"/>
      </rPr>
      <t>∑</t>
    </r>
    <r>
      <rPr>
        <sz val="12"/>
        <color theme="1"/>
        <rFont val="等线"/>
        <family val="2"/>
        <charset val="134"/>
        <scheme val="minor"/>
      </rPr>
      <t>摊销折旧（净增加）</t>
    </r>
  </si>
  <si>
    <t>单位：人民币亿元</t>
    <phoneticPr fontId="18" type="noConversion"/>
  </si>
  <si>
    <t>∆流动资产</t>
  </si>
  <si>
    <t>∆应付票据及应付账款53+54</t>
  </si>
  <si>
    <t>∆应收款项融资</t>
  </si>
  <si>
    <t>∆其他应收款(合计)13+14+15</t>
  </si>
  <si>
    <t>∆其他应付款(合计)60+61+62</t>
  </si>
  <si>
    <t>∆租赁负债</t>
  </si>
  <si>
    <t>∆长期应付款(合计)75+76</t>
  </si>
  <si>
    <t>∆在建工程(合计)32+33</t>
  </si>
  <si>
    <t>∆固定资产及清理(合计)35+36</t>
  </si>
  <si>
    <t>∆使用权资产</t>
  </si>
  <si>
    <t>2017/1/1-2023/12/31（7年）</t>
    <phoneticPr fontId="18" type="noConversion"/>
  </si>
  <si>
    <t>变动额</t>
  </si>
  <si>
    <t>Δ货币资金及等价物</t>
  </si>
  <si>
    <t>Δ短期借款</t>
    <phoneticPr fontId="27" type="noConversion"/>
  </si>
  <si>
    <t>Δ应收账款-Δ应付账款</t>
  </si>
  <si>
    <t>Δ(预收-预付)账款</t>
    <phoneticPr fontId="27" type="noConversion"/>
  </si>
  <si>
    <t>Δ存货</t>
    <phoneticPr fontId="27" type="noConversion"/>
  </si>
  <si>
    <t>Δ其他应收款-Δ其他应付款</t>
  </si>
  <si>
    <t>现金流量表</t>
    <phoneticPr fontId="18" type="noConversion"/>
  </si>
  <si>
    <t>差异</t>
    <phoneticPr fontId="18" type="noConversion"/>
  </si>
  <si>
    <t>Δ其他营运资本（不含预收账款）</t>
  </si>
  <si>
    <t>Δ金融资产</t>
    <phoneticPr fontId="27" type="noConversion"/>
  </si>
  <si>
    <t>Δ长期借款</t>
    <phoneticPr fontId="27" type="noConversion"/>
  </si>
  <si>
    <t>Δ长期应收款</t>
    <phoneticPr fontId="27" type="noConversion"/>
  </si>
  <si>
    <t>Δ长期债券</t>
    <phoneticPr fontId="27" type="noConversion"/>
  </si>
  <si>
    <t>Δ长期股权投资</t>
    <phoneticPr fontId="27" type="noConversion"/>
  </si>
  <si>
    <t>Δ其他长期负债</t>
    <phoneticPr fontId="27" type="noConversion"/>
  </si>
  <si>
    <t>现金分红比例</t>
    <phoneticPr fontId="27" type="noConversion"/>
  </si>
  <si>
    <t>Δ投资性房地产</t>
    <phoneticPr fontId="27" type="noConversion"/>
  </si>
  <si>
    <t>ΔFA&amp;CIP</t>
    <phoneticPr fontId="27" type="noConversion"/>
  </si>
  <si>
    <t>IPO&amp;增发</t>
    <phoneticPr fontId="27" type="noConversion"/>
  </si>
  <si>
    <t>Δ生产性生物性/公益性生物性/油气/使用权资产</t>
    <phoneticPr fontId="27" type="noConversion"/>
  </si>
  <si>
    <t>CF净吸收投资</t>
    <phoneticPr fontId="18" type="noConversion"/>
  </si>
  <si>
    <t>Δ无形资产</t>
    <phoneticPr fontId="27" type="noConversion"/>
  </si>
  <si>
    <t>其他</t>
    <phoneticPr fontId="27" type="noConversion"/>
  </si>
  <si>
    <t>Δ开发支出</t>
    <phoneticPr fontId="27" type="noConversion"/>
  </si>
  <si>
    <t>Δ归属权益</t>
    <phoneticPr fontId="27" type="noConversion"/>
  </si>
  <si>
    <t>Δ商誉</t>
    <phoneticPr fontId="27" type="noConversion"/>
  </si>
  <si>
    <t>Δ其他资产</t>
    <phoneticPr fontId="27" type="noConversion"/>
  </si>
  <si>
    <t>Δ少数权益</t>
    <phoneticPr fontId="27" type="noConversion"/>
  </si>
  <si>
    <t>合计</t>
    <phoneticPr fontId="27" type="noConversion"/>
  </si>
  <si>
    <t>ΔAR+Δ存货</t>
  </si>
  <si>
    <t>∑归属净利润</t>
  </si>
  <si>
    <r>
      <rPr>
        <sz val="11"/>
        <color theme="1"/>
        <rFont val="Calibri"/>
        <family val="2"/>
      </rPr>
      <t>年平均自由现金流</t>
    </r>
    <r>
      <rPr>
        <sz val="11"/>
        <color theme="1"/>
        <rFont val="Calibri"/>
        <family val="2"/>
        <charset val="134"/>
      </rPr>
      <t>（7年）</t>
    </r>
    <phoneticPr fontId="18" type="noConversion"/>
  </si>
  <si>
    <t>年平均自由现金流ROE</t>
  </si>
  <si>
    <t>TTM（至2024Q1)</t>
    <phoneticPr fontId="18" type="noConversion"/>
  </si>
  <si>
    <t>TTM（至2023Q1)</t>
    <phoneticPr fontId="18" type="noConversion"/>
  </si>
  <si>
    <t>同比增长率</t>
  </si>
  <si>
    <t>过去12个月营业收入</t>
    <phoneticPr fontId="27" type="noConversion"/>
  </si>
  <si>
    <t>过去12个月营业成本</t>
    <phoneticPr fontId="27" type="noConversion"/>
  </si>
  <si>
    <t>过去12个月归属净利润</t>
    <phoneticPr fontId="27" type="noConversion"/>
  </si>
  <si>
    <t>过去12个月经营净现金流</t>
    <phoneticPr fontId="27" type="noConversion"/>
  </si>
  <si>
    <t>过去12个月财务费用</t>
    <phoneticPr fontId="27" type="noConversion"/>
  </si>
  <si>
    <t>过去12个月投资收益</t>
    <phoneticPr fontId="27" type="noConversion"/>
  </si>
  <si>
    <t>过去12个月毛利</t>
  </si>
  <si>
    <t>过去12个月毛利率</t>
  </si>
  <si>
    <t>过去12个月净利率</t>
  </si>
  <si>
    <t>总资产周转率</t>
  </si>
  <si>
    <t>权益乘数=资产总额/归属股东权益</t>
  </si>
  <si>
    <t>ROE-摊薄</t>
  </si>
  <si>
    <t>投入资本回报率</t>
    <phoneticPr fontId="21" type="noConversion"/>
  </si>
  <si>
    <t>近7年经营现金流/归属净利</t>
    <phoneticPr fontId="21" type="noConversion"/>
  </si>
  <si>
    <t>ROA=ROE/权益乘数</t>
    <phoneticPr fontId="21" type="noConversion"/>
  </si>
  <si>
    <t>投入资本回报率=息前利润/（资产总额-流动负债-商誉）</t>
    <phoneticPr fontId="18" type="noConversion"/>
  </si>
  <si>
    <t>投资收益占比净利润</t>
    <phoneticPr fontId="18" type="noConversion"/>
  </si>
  <si>
    <t>（投资收益+利息收入）/净利润</t>
    <phoneticPr fontId="18" type="noConversion"/>
  </si>
  <si>
    <r>
      <t>年平均自由现金流ROE=(</t>
    </r>
    <r>
      <rPr>
        <sz val="11"/>
        <color theme="1"/>
        <rFont val="微软雅黑"/>
        <family val="2"/>
        <charset val="134"/>
      </rPr>
      <t>∑归属净利润-∆FA&amp;CIP)/7/当前期末归属股东权益*100%</t>
    </r>
    <phoneticPr fontId="18" type="noConversion"/>
  </si>
  <si>
    <t>年平均自由现金流（5年）</t>
    <phoneticPr fontId="18" type="noConversion"/>
  </si>
  <si>
    <t>近5年经营现金流/归属净利</t>
    <phoneticPr fontId="21" type="noConversion"/>
  </si>
  <si>
    <r>
      <t>年平均自由现金流ROE=(</t>
    </r>
    <r>
      <rPr>
        <sz val="11"/>
        <color theme="1"/>
        <rFont val="微软雅黑"/>
        <family val="2"/>
        <charset val="134"/>
      </rPr>
      <t>∑归属净利润-∆FA&amp;CIP)/6/当前期末归属股东权益*100%</t>
    </r>
    <phoneticPr fontId="18" type="noConversion"/>
  </si>
  <si>
    <t>DIFF</t>
  </si>
  <si>
    <t>近六年经营现金流/归属净利</t>
    <phoneticPr fontId="21" type="noConversion"/>
  </si>
  <si>
    <t>2023/1/1-2023/12/31</t>
    <phoneticPr fontId="18" type="noConversion"/>
  </si>
  <si>
    <t>2022/1/1-2022/12/31</t>
    <phoneticPr fontId="18" type="noConversion"/>
  </si>
  <si>
    <t>股价</t>
  </si>
  <si>
    <t>总股本</t>
  </si>
  <si>
    <t>亿</t>
  </si>
  <si>
    <t>总市值</t>
  </si>
  <si>
    <t>PE-7年</t>
    <phoneticPr fontId="18" type="noConversion"/>
  </si>
  <si>
    <t>PE-3年</t>
    <phoneticPr fontId="18" type="noConversion"/>
  </si>
  <si>
    <t>PE-ttm</t>
  </si>
  <si>
    <t>PE-自由现金流</t>
    <phoneticPr fontId="18" type="noConversion"/>
  </si>
  <si>
    <t>PB</t>
  </si>
  <si>
    <t>ROE</t>
  </si>
  <si>
    <t>ROA</t>
    <phoneticPr fontId="21" type="noConversion"/>
  </si>
  <si>
    <t>所得税率</t>
    <phoneticPr fontId="18" type="noConversion"/>
  </si>
  <si>
    <t>现金分红占比净利润</t>
  </si>
  <si>
    <t>股息收益率</t>
  </si>
  <si>
    <t>总资产周转率</t>
    <phoneticPr fontId="21" type="noConversion"/>
  </si>
  <si>
    <t>营业收入/固定资产</t>
    <phoneticPr fontId="18" type="noConversion"/>
  </si>
  <si>
    <t>ΔAR+Δ存货/∑归属净利润</t>
    <phoneticPr fontId="18" type="noConversion"/>
  </si>
  <si>
    <t>ΔFA&amp;CIP/∑归属净利润</t>
    <phoneticPr fontId="18" type="noConversion"/>
  </si>
  <si>
    <t>年平均自由现金流ROE</t>
    <phoneticPr fontId="18" type="noConversion"/>
  </si>
  <si>
    <t>地域：</t>
  </si>
  <si>
    <t>上市日期：</t>
  </si>
  <si>
    <t>增发情况：</t>
    <phoneticPr fontId="18" type="noConversion"/>
  </si>
  <si>
    <t>行业：</t>
  </si>
  <si>
    <t>发行股份数量：万股</t>
  </si>
  <si>
    <t>发行价：元</t>
  </si>
  <si>
    <t>募集费用：万元</t>
  </si>
  <si>
    <t>IPO净募集金额：万元</t>
  </si>
  <si>
    <t>增发时间：</t>
  </si>
  <si>
    <t>无</t>
  </si>
  <si>
    <t>增发数量：万股</t>
  </si>
  <si>
    <t>增发价格：元</t>
  </si>
  <si>
    <t>增发费用：</t>
  </si>
  <si>
    <t>净募集：万元</t>
    <phoneticPr fontId="18" type="noConversion"/>
  </si>
  <si>
    <t>成长能力指标</t>
  </si>
  <si>
    <t>营业总收入(元)</t>
  </si>
  <si>
    <t>毛利润(元)</t>
  </si>
  <si>
    <t>归属净利润(元)</t>
  </si>
  <si>
    <t>扣非净利润(元)</t>
  </si>
  <si>
    <t>营业总收入同比增长(%)</t>
  </si>
  <si>
    <t>归属净利润同比增长(%)</t>
  </si>
  <si>
    <t>扣非净利润同比增长(%)</t>
  </si>
  <si>
    <t>净资产收益率(加权)(%)</t>
  </si>
  <si>
    <t>净资产收益率(扣非/加权)(%)</t>
  </si>
  <si>
    <t>总资产收益率(加权)(%)</t>
  </si>
  <si>
    <t>毛利率(%)</t>
  </si>
  <si>
    <t>净利率(%)</t>
  </si>
  <si>
    <t>预收账款/营业总收入</t>
  </si>
  <si>
    <t>--</t>
  </si>
  <si>
    <t>销售净现金流/营业总收入</t>
  </si>
  <si>
    <t>经营净现金流/营业总收入</t>
  </si>
  <si>
    <t>实际税率(%)</t>
  </si>
  <si>
    <t>流动比率</t>
  </si>
  <si>
    <t>速动比率</t>
  </si>
  <si>
    <t>现金流量比率</t>
  </si>
  <si>
    <t>资产负债率(%)</t>
  </si>
  <si>
    <t>权益乘数</t>
  </si>
  <si>
    <t>产权比率</t>
  </si>
  <si>
    <t>总资产周转天数(天)</t>
  </si>
  <si>
    <t>存货周转天数(天)</t>
  </si>
  <si>
    <t>应收账款周转天数(天)</t>
  </si>
  <si>
    <t>总资产周转率(次)</t>
  </si>
  <si>
    <t>存货周转率(次)</t>
  </si>
  <si>
    <t>应收账款周转率(次)</t>
  </si>
  <si>
    <r>
      <rPr>
        <b/>
        <sz val="11"/>
        <color rgb="FFFF0000"/>
        <rFont val="等线"/>
        <family val="3"/>
        <charset val="134"/>
        <scheme val="minor"/>
      </rPr>
      <t>权益乘数</t>
    </r>
    <r>
      <rPr>
        <sz val="12"/>
        <color theme="1"/>
        <rFont val="等线"/>
        <family val="2"/>
        <charset val="134"/>
        <scheme val="minor"/>
      </rPr>
      <t>又称股本乘数，是指资产总额相当于股东权益的倍数。</t>
    </r>
    <phoneticPr fontId="18" type="noConversion"/>
  </si>
  <si>
    <r>
      <rPr>
        <b/>
        <sz val="11"/>
        <color rgb="FFFF0000"/>
        <rFont val="等线"/>
        <family val="3"/>
        <charset val="134"/>
        <scheme val="minor"/>
      </rPr>
      <t>产权比率</t>
    </r>
    <r>
      <rPr>
        <sz val="12"/>
        <color theme="1"/>
        <rFont val="等线"/>
        <family val="2"/>
        <charset val="134"/>
        <scheme val="minor"/>
      </rPr>
      <t>是在股份制企业中，负债总额与归属所有者权益总额的</t>
    </r>
    <r>
      <rPr>
        <b/>
        <sz val="11"/>
        <color theme="1"/>
        <rFont val="等线"/>
        <family val="3"/>
        <charset val="134"/>
        <scheme val="minor"/>
      </rPr>
      <t>比率</t>
    </r>
    <r>
      <rPr>
        <sz val="12"/>
        <color theme="1"/>
        <rFont val="等线"/>
        <family val="2"/>
        <charset val="134"/>
        <scheme val="minor"/>
      </rPr>
      <t>，是为评估资金结构合理性的一种指标。</t>
    </r>
    <phoneticPr fontId="18" type="noConversion"/>
  </si>
  <si>
    <t>营业总收入(亿元)</t>
    <phoneticPr fontId="18" type="noConversion"/>
  </si>
  <si>
    <t>毛利润(亿元)</t>
    <phoneticPr fontId="18" type="noConversion"/>
  </si>
  <si>
    <t>归属净利润(亿元)</t>
    <phoneticPr fontId="18" type="noConversion"/>
  </si>
  <si>
    <t>扣非净利润(亿元)</t>
    <phoneticPr fontId="18" type="noConversion"/>
  </si>
  <si>
    <t>营业总收入滚动环比增长(%)</t>
  </si>
  <si>
    <t>归属净利润滚动环比增长(%)</t>
  </si>
  <si>
    <t>扣非净利润滚动环比增长(%)</t>
  </si>
  <si>
    <t>摊薄净资产收益率(%)</t>
  </si>
  <si>
    <t>摊薄总资产收益率(%)</t>
  </si>
  <si>
    <t>2021/1/1-2021/12/31</t>
    <phoneticPr fontId="18" type="noConversion"/>
  </si>
  <si>
    <t>工业富联</t>
  </si>
  <si>
    <t>深圳</t>
    <phoneticPr fontId="18" type="noConversion"/>
  </si>
  <si>
    <t>信息技术-通信设备-通信传输设备</t>
    <phoneticPr fontId="18" type="noConversion"/>
  </si>
  <si>
    <t>深圳</t>
  </si>
  <si>
    <t>信息技术-通信设备-通信传输设备</t>
  </si>
  <si>
    <t>2017-2023企业经营现金流/归属净利</t>
    <phoneticPr fontId="18" type="noConversion"/>
  </si>
  <si>
    <t>自由现金流占比营收%（2017-2023）</t>
    <phoneticPr fontId="18" type="noConversion"/>
  </si>
  <si>
    <t>增减变动%</t>
    <phoneticPr fontId="18" type="noConversion"/>
  </si>
  <si>
    <t>2019/1/1-2023/12/31（5年）</t>
    <phoneticPr fontId="18" type="noConversion"/>
  </si>
  <si>
    <t>单位：亿元</t>
    <phoneticPr fontId="18" type="noConversion"/>
  </si>
  <si>
    <t>营业总收入</t>
    <phoneticPr fontId="18" type="noConversion"/>
  </si>
  <si>
    <t>来自利润表</t>
    <phoneticPr fontId="18" type="noConversion"/>
  </si>
  <si>
    <t>营业收入（非营业总收入）</t>
    <phoneticPr fontId="18" type="noConversion"/>
  </si>
  <si>
    <t>来自变动表</t>
    <phoneticPr fontId="18" type="noConversion"/>
  </si>
  <si>
    <t>折旧</t>
    <phoneticPr fontId="18" type="noConversion"/>
  </si>
  <si>
    <t>固定资产折旧、油气资产折耗、生产性物资折旧</t>
    <phoneticPr fontId="18" type="noConversion"/>
  </si>
  <si>
    <t>折旧占比营业收入%</t>
    <phoneticPr fontId="18" type="noConversion"/>
  </si>
  <si>
    <t>毛利润</t>
    <phoneticPr fontId="18" type="noConversion"/>
  </si>
  <si>
    <t>‘=营业收入-营业成本</t>
    <phoneticPr fontId="18" type="noConversion"/>
  </si>
  <si>
    <t>毛利率</t>
    <phoneticPr fontId="18" type="noConversion"/>
  </si>
  <si>
    <t>‘=毛利润/营业收入</t>
    <phoneticPr fontId="18" type="noConversion"/>
  </si>
  <si>
    <t>验证（毛利率来自变动表）</t>
    <phoneticPr fontId="18" type="noConversion"/>
  </si>
  <si>
    <t>营业外收入</t>
    <phoneticPr fontId="18" type="noConversion"/>
  </si>
  <si>
    <t>营业外支出</t>
    <phoneticPr fontId="18" type="noConversion"/>
  </si>
  <si>
    <t>利润总额（税前）</t>
    <phoneticPr fontId="18" type="noConversion"/>
  </si>
  <si>
    <t>税前利润率</t>
    <phoneticPr fontId="18" type="noConversion"/>
  </si>
  <si>
    <t>‘=利润总额/营业收入</t>
    <phoneticPr fontId="18" type="noConversion"/>
  </si>
  <si>
    <t>所得税费用</t>
    <phoneticPr fontId="18" type="noConversion"/>
  </si>
  <si>
    <t>所得税税率</t>
    <phoneticPr fontId="18" type="noConversion"/>
  </si>
  <si>
    <t>‘=所得税费用/利润总额</t>
    <phoneticPr fontId="18" type="noConversion"/>
  </si>
  <si>
    <t>净利润</t>
    <phoneticPr fontId="18" type="noConversion"/>
  </si>
  <si>
    <t>验证（净利润来自利润表）</t>
    <phoneticPr fontId="18" type="noConversion"/>
  </si>
  <si>
    <t>少数股东损益</t>
    <phoneticPr fontId="18" type="noConversion"/>
  </si>
  <si>
    <t>归属于母公司股东的净利润</t>
    <phoneticPr fontId="18" type="noConversion"/>
  </si>
  <si>
    <t>年末股本数（亿股）</t>
    <phoneticPr fontId="18" type="noConversion"/>
  </si>
  <si>
    <t>每股收益</t>
    <phoneticPr fontId="18" type="noConversion"/>
  </si>
  <si>
    <t>‘=归属净利润/总股本数</t>
    <phoneticPr fontId="18" type="noConversion"/>
  </si>
  <si>
    <t>每股分红</t>
    <phoneticPr fontId="18" type="noConversion"/>
  </si>
  <si>
    <t>每股净资产</t>
    <phoneticPr fontId="18" type="noConversion"/>
  </si>
  <si>
    <t>‘=股东权益/年末股本数</t>
    <phoneticPr fontId="18" type="noConversion"/>
  </si>
  <si>
    <t>股东权益（年末净资产）</t>
    <phoneticPr fontId="18" type="noConversion"/>
  </si>
  <si>
    <t>ROE</t>
    <phoneticPr fontId="18" type="noConversion"/>
  </si>
  <si>
    <t>‘=归属净利润/股东权益</t>
    <phoneticPr fontId="18" type="noConversion"/>
  </si>
  <si>
    <t>权益负债率</t>
    <phoneticPr fontId="18" type="noConversion"/>
  </si>
  <si>
    <t>‘=负债总额/股东权益</t>
    <phoneticPr fontId="18" type="noConversion"/>
  </si>
  <si>
    <t>‘=资产负债率/（1-资产负债率）</t>
    <phoneticPr fontId="18" type="noConversion"/>
  </si>
  <si>
    <t>应收账款&amp;应收票据/营业收入</t>
    <phoneticPr fontId="18" type="noConversion"/>
  </si>
  <si>
    <t>存货/营业收入</t>
    <phoneticPr fontId="18" type="noConversion"/>
  </si>
  <si>
    <t>广告</t>
    <phoneticPr fontId="18" type="noConversion"/>
  </si>
  <si>
    <t>研发</t>
    <phoneticPr fontId="18" type="noConversion"/>
  </si>
  <si>
    <r>
      <t>资本性支出</t>
    </r>
    <r>
      <rPr>
        <sz val="8"/>
        <color theme="1"/>
        <rFont val="等线"/>
        <family val="3"/>
        <charset val="134"/>
      </rPr>
      <t>（来自现金流量表）</t>
    </r>
    <phoneticPr fontId="18" type="noConversion"/>
  </si>
  <si>
    <t>‘=（FA期末+CIP期末）-（FA期初+CIP期初）+计提折旧</t>
    <phoneticPr fontId="18" type="noConversion"/>
  </si>
  <si>
    <t>资本性支出与折旧比率</t>
    <phoneticPr fontId="18" type="noConversion"/>
  </si>
  <si>
    <t>资本性支出与厂房和设备原值比率</t>
    <phoneticPr fontId="18" type="noConversion"/>
  </si>
  <si>
    <t>资本性支出与净市盈率比值</t>
    <phoneticPr fontId="18" type="noConversion"/>
  </si>
  <si>
    <t>股价波动幅度</t>
    <phoneticPr fontId="18" type="noConversion"/>
  </si>
  <si>
    <t>累计</t>
    <phoneticPr fontId="18" type="noConversion"/>
  </si>
  <si>
    <t>累计销售</t>
    <phoneticPr fontId="18" type="noConversion"/>
  </si>
  <si>
    <t>商店数目</t>
    <phoneticPr fontId="18" type="noConversion"/>
  </si>
  <si>
    <t>销售与商店比率</t>
    <phoneticPr fontId="18" type="noConversion"/>
  </si>
  <si>
    <t>财务费用</t>
    <phoneticPr fontId="18" type="noConversion"/>
  </si>
  <si>
    <t>财务费用占比营业收入%</t>
    <phoneticPr fontId="18" type="noConversion"/>
  </si>
  <si>
    <t>分红率</t>
    <phoneticPr fontId="18" type="noConversion"/>
  </si>
  <si>
    <t>归属净利润</t>
    <phoneticPr fontId="18" type="noConversion"/>
  </si>
  <si>
    <t>来自东财F10</t>
    <phoneticPr fontId="18" type="noConversion"/>
  </si>
  <si>
    <t>扣非净利润</t>
    <phoneticPr fontId="18" type="noConversion"/>
  </si>
  <si>
    <t xml:space="preserve"> 来自利润表</t>
    <phoneticPr fontId="18" type="noConversion"/>
  </si>
  <si>
    <t>每股扣非收益</t>
    <phoneticPr fontId="18" type="noConversion"/>
  </si>
  <si>
    <t>‘=扣非净利润/总股本数</t>
    <phoneticPr fontId="18" type="noConversion"/>
  </si>
  <si>
    <t>‘=每股分红/每股收益</t>
    <phoneticPr fontId="18" type="noConversion"/>
  </si>
  <si>
    <t>扣非净利润率</t>
    <phoneticPr fontId="18" type="noConversion"/>
  </si>
  <si>
    <t>‘=扣非净利润/营业收入</t>
    <phoneticPr fontId="18" type="noConversion"/>
  </si>
  <si>
    <t>扣非ROE</t>
    <phoneticPr fontId="18" type="noConversion"/>
  </si>
  <si>
    <t>‘=扣非净利润/股东权益</t>
    <phoneticPr fontId="18" type="noConversion"/>
  </si>
  <si>
    <t>验证</t>
    <phoneticPr fontId="18" type="noConversion"/>
  </si>
  <si>
    <t>TTM营业收入</t>
    <phoneticPr fontId="18" type="noConversion"/>
  </si>
  <si>
    <t>TTM归属净利</t>
    <phoneticPr fontId="18" type="noConversion"/>
  </si>
  <si>
    <t>TTM扣非净利</t>
    <phoneticPr fontId="18" type="noConversion"/>
  </si>
  <si>
    <t>过去12个月营业收入（非营业总收入）</t>
    <phoneticPr fontId="27" type="noConversion"/>
  </si>
  <si>
    <t>TTM自由现金流2</t>
    <phoneticPr fontId="18" type="noConversion"/>
  </si>
  <si>
    <t>最新期末资产总额</t>
    <phoneticPr fontId="18" type="noConversion"/>
  </si>
  <si>
    <t>最新期末FA&amp;CIP</t>
    <phoneticPr fontId="18" type="noConversion"/>
  </si>
  <si>
    <t>最新期末股东权益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</si>
</sst>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76" formatCode="_(* #,##0_);_(* \(#,##0\);_(* &quot;-&quot;??_);_(@_)"/>
    <numFmt numFmtId="177" formatCode="_-* #,##0_-;\-* #,##0_-;_-* &quot;-&quot;??_-;_-@_-"/>
    <numFmt numFmtId="178" formatCode="0.0%"/>
    <numFmt numFmtId="179" formatCode="_-* #,##0.00_-;\-* #,##0.00_-;_-* &quot;-&quot;??_-;_-@_-"/>
    <numFmt numFmtId="180" formatCode="_ * #,##0_ ;_ * \-#,##0_ ;_ * &quot;-&quot;??_ ;_ @_ "/>
    <numFmt numFmtId="181" formatCode="_ * #,##0.00_ ;_ * \-#,##0.00_ ;_ * &quot;-&quot;??_ ;_ @_ "/>
    <numFmt numFmtId="182" formatCode="_ * #,##0.0_ ;_ * \-#,##0.0_ ;_ * &quot;-&quot;??_ ;_ @_ "/>
    <numFmt numFmtId="183" formatCode="_-* #,##0.0_-;\-* #,##0.0_-;_-* &quot;-&quot;?_-;_-@_-"/>
    <numFmt numFmtId="184" formatCode="_-* #,##0.000_-;\-* #,##0.000_-;_-* &quot;-&quot;??_-;_-@_-"/>
    <numFmt numFmtId="185" formatCode="_-* #,##0.0_-;\-* #,##0.0_-;_-* &quot;-&quot;??_-;_-@_-"/>
    <numFmt numFmtId="186" formatCode="0.0000"/>
  </numFmts>
  <fonts count="4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99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Calibri"/>
      <family val="2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b/>
      <i/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theme="1"/>
      <name val="Calibri"/>
      <family val="2"/>
      <charset val="134"/>
    </font>
    <font>
      <sz val="11"/>
      <color theme="1"/>
      <name val="等线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Calibri"/>
      <family val="3"/>
    </font>
    <font>
      <sz val="11"/>
      <color rgb="FFFF0000"/>
      <name val="等线"/>
      <family val="2"/>
      <scheme val="minor"/>
    </font>
    <font>
      <sz val="8"/>
      <color theme="1"/>
      <name val="等线"/>
      <family val="2"/>
      <charset val="134"/>
      <scheme val="minor"/>
    </font>
    <font>
      <sz val="8"/>
      <color theme="1"/>
      <name val="等线"/>
      <family val="3"/>
      <charset val="134"/>
    </font>
    <font>
      <sz val="8"/>
      <color theme="1"/>
      <name val="等线"/>
      <family val="4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>
      <alignment vertical="center"/>
    </xf>
    <xf numFmtId="179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/>
    <xf numFmtId="9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181" fontId="26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6" fillId="0" borderId="0">
      <alignment vertical="center"/>
    </xf>
  </cellStyleXfs>
  <cellXfs count="198">
    <xf numFmtId="0" fontId="0" fillId="0" borderId="0" xfId="0">
      <alignment vertical="center"/>
    </xf>
    <xf numFmtId="43" fontId="0" fillId="0" borderId="0" xfId="1" applyFont="1">
      <alignment vertical="center"/>
    </xf>
    <xf numFmtId="176" fontId="0" fillId="0" borderId="0" xfId="1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Alignment="1"/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7" fontId="20" fillId="0" borderId="0" xfId="0" applyNumberFormat="1" applyFont="1">
      <alignment vertical="center"/>
    </xf>
    <xf numFmtId="0" fontId="22" fillId="35" borderId="0" xfId="0" applyFont="1" applyFill="1" applyAlignment="1"/>
    <xf numFmtId="0" fontId="23" fillId="0" borderId="0" xfId="0" applyFont="1" applyAlignment="1"/>
    <xf numFmtId="43" fontId="0" fillId="0" borderId="0" xfId="1" applyFont="1" applyAlignment="1"/>
    <xf numFmtId="0" fontId="24" fillId="0" borderId="0" xfId="0" applyFont="1" applyAlignment="1"/>
    <xf numFmtId="0" fontId="0" fillId="33" borderId="0" xfId="0" applyFill="1" applyAlignment="1">
      <alignment horizontal="center" vertic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10" fontId="0" fillId="0" borderId="0" xfId="2" applyNumberFormat="1" applyFont="1" applyAlignment="1"/>
    <xf numFmtId="10" fontId="0" fillId="0" borderId="0" xfId="2" applyNumberFormat="1" applyFont="1">
      <alignment vertical="center"/>
    </xf>
    <xf numFmtId="177" fontId="0" fillId="0" borderId="0" xfId="0" applyNumberFormat="1" applyAlignment="1"/>
    <xf numFmtId="177" fontId="23" fillId="0" borderId="0" xfId="0" applyNumberFormat="1" applyFont="1" applyAlignment="1"/>
    <xf numFmtId="178" fontId="0" fillId="0" borderId="0" xfId="2" applyNumberFormat="1" applyFont="1" applyAlignment="1"/>
    <xf numFmtId="0" fontId="25" fillId="0" borderId="0" xfId="0" applyFont="1">
      <alignment vertical="center"/>
    </xf>
    <xf numFmtId="0" fontId="20" fillId="33" borderId="0" xfId="0" applyFont="1" applyFill="1">
      <alignment vertical="center"/>
    </xf>
    <xf numFmtId="0" fontId="20" fillId="38" borderId="0" xfId="0" applyFont="1" applyFill="1">
      <alignment vertical="center"/>
    </xf>
    <xf numFmtId="0" fontId="0" fillId="39" borderId="0" xfId="0" applyFill="1">
      <alignment vertical="center"/>
    </xf>
    <xf numFmtId="0" fontId="20" fillId="40" borderId="0" xfId="0" applyFont="1" applyFill="1">
      <alignment vertical="center"/>
    </xf>
    <xf numFmtId="0" fontId="20" fillId="36" borderId="0" xfId="0" applyFont="1" applyFill="1">
      <alignment vertical="center"/>
    </xf>
    <xf numFmtId="0" fontId="0" fillId="41" borderId="0" xfId="0" applyFill="1">
      <alignment vertical="center"/>
    </xf>
    <xf numFmtId="0" fontId="0" fillId="0" borderId="0" xfId="0" applyAlignment="1">
      <alignment horizontal="left" vertical="center" indent="2"/>
    </xf>
    <xf numFmtId="0" fontId="0" fillId="34" borderId="0" xfId="0" applyFill="1" applyAlignment="1">
      <alignment horizontal="center" vertical="center"/>
    </xf>
    <xf numFmtId="177" fontId="0" fillId="0" borderId="0" xfId="1" applyNumberFormat="1" applyFont="1">
      <alignment vertical="center"/>
    </xf>
    <xf numFmtId="177" fontId="0" fillId="33" borderId="0" xfId="0" applyNumberFormat="1" applyFill="1">
      <alignment vertical="center"/>
    </xf>
    <xf numFmtId="177" fontId="0" fillId="38" borderId="0" xfId="0" applyNumberFormat="1" applyFill="1">
      <alignment vertical="center"/>
    </xf>
    <xf numFmtId="177" fontId="0" fillId="39" borderId="0" xfId="0" applyNumberFormat="1" applyFill="1">
      <alignment vertical="center"/>
    </xf>
    <xf numFmtId="177" fontId="0" fillId="40" borderId="0" xfId="0" applyNumberFormat="1" applyFill="1">
      <alignment vertical="center"/>
    </xf>
    <xf numFmtId="177" fontId="0" fillId="36" borderId="0" xfId="0" applyNumberFormat="1" applyFill="1">
      <alignment vertical="center"/>
    </xf>
    <xf numFmtId="177" fontId="0" fillId="41" borderId="0" xfId="0" applyNumberFormat="1" applyFill="1">
      <alignment vertical="center"/>
    </xf>
    <xf numFmtId="0" fontId="26" fillId="0" borderId="0" xfId="44" applyAlignment="1"/>
    <xf numFmtId="0" fontId="26" fillId="33" borderId="0" xfId="44" applyFill="1">
      <alignment vertical="center"/>
    </xf>
    <xf numFmtId="0" fontId="26" fillId="33" borderId="0" xfId="44" applyFill="1" applyAlignment="1">
      <alignment horizontal="center" vertical="center"/>
    </xf>
    <xf numFmtId="0" fontId="26" fillId="34" borderId="0" xfId="44" applyFill="1" applyAlignment="1">
      <alignment horizontal="center"/>
    </xf>
    <xf numFmtId="0" fontId="26" fillId="0" borderId="0" xfId="44">
      <alignment vertical="center"/>
    </xf>
    <xf numFmtId="0" fontId="26" fillId="0" borderId="0" xfId="44" applyAlignment="1">
      <alignment horizontal="center" vertical="center"/>
    </xf>
    <xf numFmtId="0" fontId="26" fillId="0" borderId="0" xfId="44" applyAlignment="1">
      <alignment horizontal="center"/>
    </xf>
    <xf numFmtId="0" fontId="26" fillId="42" borderId="0" xfId="44" applyFill="1" applyAlignment="1"/>
    <xf numFmtId="177" fontId="0" fillId="0" borderId="0" xfId="45" applyNumberFormat="1" applyFont="1">
      <alignment vertical="center"/>
    </xf>
    <xf numFmtId="0" fontId="19" fillId="0" borderId="0" xfId="44" applyFont="1">
      <alignment vertical="center"/>
    </xf>
    <xf numFmtId="0" fontId="26" fillId="34" borderId="0" xfId="44" applyFill="1" applyAlignment="1"/>
    <xf numFmtId="0" fontId="28" fillId="0" borderId="0" xfId="44" applyFont="1">
      <alignment vertical="center"/>
    </xf>
    <xf numFmtId="0" fontId="30" fillId="0" borderId="0" xfId="44" applyFont="1">
      <alignment vertical="center"/>
    </xf>
    <xf numFmtId="0" fontId="26" fillId="38" borderId="0" xfId="44" applyFill="1" applyAlignment="1"/>
    <xf numFmtId="0" fontId="23" fillId="0" borderId="0" xfId="44" applyFont="1" applyAlignment="1"/>
    <xf numFmtId="177" fontId="0" fillId="39" borderId="0" xfId="45" applyNumberFormat="1" applyFont="1" applyFill="1">
      <alignment vertical="center"/>
    </xf>
    <xf numFmtId="0" fontId="20" fillId="0" borderId="0" xfId="44" applyFont="1">
      <alignment vertical="center"/>
    </xf>
    <xf numFmtId="0" fontId="20" fillId="0" borderId="0" xfId="44" applyFont="1" applyAlignment="1"/>
    <xf numFmtId="0" fontId="26" fillId="33" borderId="0" xfId="46" applyFill="1">
      <alignment vertical="center"/>
    </xf>
    <xf numFmtId="180" fontId="27" fillId="0" borderId="0" xfId="47" applyNumberFormat="1" applyAlignment="1">
      <alignment vertical="center"/>
    </xf>
    <xf numFmtId="0" fontId="26" fillId="40" borderId="0" xfId="46" applyFill="1">
      <alignment vertical="center"/>
    </xf>
    <xf numFmtId="177" fontId="27" fillId="0" borderId="0" xfId="47" applyNumberFormat="1"/>
    <xf numFmtId="0" fontId="26" fillId="36" borderId="0" xfId="46" applyFill="1">
      <alignment vertical="center"/>
    </xf>
    <xf numFmtId="0" fontId="26" fillId="36" borderId="10" xfId="46" applyFill="1" applyBorder="1">
      <alignment vertical="center"/>
    </xf>
    <xf numFmtId="0" fontId="26" fillId="0" borderId="0" xfId="46">
      <alignment vertical="center"/>
    </xf>
    <xf numFmtId="0" fontId="23" fillId="0" borderId="0" xfId="44" applyFont="1">
      <alignment vertical="center"/>
    </xf>
    <xf numFmtId="177" fontId="20" fillId="0" borderId="0" xfId="45" applyNumberFormat="1" applyFont="1">
      <alignment vertical="center"/>
    </xf>
    <xf numFmtId="0" fontId="26" fillId="43" borderId="0" xfId="44" applyFill="1">
      <alignment vertical="center"/>
    </xf>
    <xf numFmtId="177" fontId="0" fillId="40" borderId="0" xfId="45" applyNumberFormat="1" applyFont="1" applyFill="1">
      <alignment vertical="center"/>
    </xf>
    <xf numFmtId="180" fontId="20" fillId="0" borderId="0" xfId="44" applyNumberFormat="1" applyFont="1">
      <alignment vertical="center"/>
    </xf>
    <xf numFmtId="180" fontId="26" fillId="0" borderId="0" xfId="44" applyNumberFormat="1">
      <alignment vertical="center"/>
    </xf>
    <xf numFmtId="10" fontId="0" fillId="0" borderId="0" xfId="48" applyNumberFormat="1" applyFont="1">
      <alignment vertical="center"/>
    </xf>
    <xf numFmtId="0" fontId="31" fillId="0" borderId="0" xfId="44" applyFont="1" applyAlignment="1"/>
    <xf numFmtId="179" fontId="0" fillId="0" borderId="0" xfId="45" applyFont="1">
      <alignment vertical="center"/>
    </xf>
    <xf numFmtId="10" fontId="20" fillId="0" borderId="0" xfId="48" applyNumberFormat="1" applyFont="1">
      <alignment vertical="center"/>
    </xf>
    <xf numFmtId="10" fontId="26" fillId="0" borderId="0" xfId="44" applyNumberFormat="1" applyAlignment="1"/>
    <xf numFmtId="177" fontId="0" fillId="0" borderId="0" xfId="45" applyNumberFormat="1" applyFont="1" applyAlignment="1"/>
    <xf numFmtId="177" fontId="26" fillId="0" borderId="0" xfId="44" applyNumberFormat="1">
      <alignment vertical="center"/>
    </xf>
    <xf numFmtId="0" fontId="26" fillId="0" borderId="0" xfId="44" applyAlignment="1">
      <alignment horizontal="left" vertical="center" indent="1"/>
    </xf>
    <xf numFmtId="0" fontId="26" fillId="0" borderId="0" xfId="44" applyAlignment="1">
      <alignment horizontal="left" vertical="center" indent="2"/>
    </xf>
    <xf numFmtId="0" fontId="20" fillId="44" borderId="0" xfId="44" applyFont="1" applyFill="1" applyAlignment="1">
      <alignment horizontal="left" vertical="center" indent="1"/>
    </xf>
    <xf numFmtId="177" fontId="20" fillId="44" borderId="0" xfId="44" applyNumberFormat="1" applyFont="1" applyFill="1">
      <alignment vertical="center"/>
    </xf>
    <xf numFmtId="0" fontId="20" fillId="0" borderId="11" xfId="44" applyFont="1" applyBorder="1">
      <alignment vertical="center"/>
    </xf>
    <xf numFmtId="177" fontId="20" fillId="0" borderId="11" xfId="44" applyNumberFormat="1" applyFont="1" applyBorder="1">
      <alignment vertical="center"/>
    </xf>
    <xf numFmtId="0" fontId="26" fillId="44" borderId="0" xfId="44" applyFill="1" applyAlignment="1">
      <alignment horizontal="left" vertical="center" indent="1"/>
    </xf>
    <xf numFmtId="177" fontId="20" fillId="44" borderId="0" xfId="45" applyNumberFormat="1" applyFont="1" applyFill="1">
      <alignment vertical="center"/>
    </xf>
    <xf numFmtId="177" fontId="20" fillId="0" borderId="11" xfId="45" applyNumberFormat="1" applyFont="1" applyBorder="1">
      <alignment vertical="center"/>
    </xf>
    <xf numFmtId="0" fontId="20" fillId="0" borderId="0" xfId="49" applyFont="1">
      <alignment vertical="center"/>
    </xf>
    <xf numFmtId="0" fontId="26" fillId="0" borderId="0" xfId="49">
      <alignment vertical="center"/>
    </xf>
    <xf numFmtId="180" fontId="26" fillId="0" borderId="0" xfId="49" applyNumberFormat="1">
      <alignment vertical="center"/>
    </xf>
    <xf numFmtId="0" fontId="0" fillId="0" borderId="0" xfId="49" applyFont="1">
      <alignment vertical="center"/>
    </xf>
    <xf numFmtId="0" fontId="26" fillId="0" borderId="0" xfId="49" applyAlignment="1">
      <alignment horizontal="center" vertical="center"/>
    </xf>
    <xf numFmtId="177" fontId="26" fillId="45" borderId="0" xfId="45" applyNumberFormat="1" applyFill="1">
      <alignment vertical="center"/>
    </xf>
    <xf numFmtId="177" fontId="26" fillId="45" borderId="0" xfId="49" applyNumberFormat="1" applyFill="1">
      <alignment vertical="center"/>
    </xf>
    <xf numFmtId="181" fontId="26" fillId="0" borderId="0" xfId="49" applyNumberFormat="1">
      <alignment vertical="center"/>
    </xf>
    <xf numFmtId="180" fontId="26" fillId="45" borderId="0" xfId="49" applyNumberFormat="1" applyFill="1">
      <alignment vertical="center"/>
    </xf>
    <xf numFmtId="180" fontId="26" fillId="0" borderId="12" xfId="49" applyNumberFormat="1" applyBorder="1">
      <alignment vertical="center"/>
    </xf>
    <xf numFmtId="10" fontId="0" fillId="0" borderId="0" xfId="50" applyNumberFormat="1" applyFont="1">
      <alignment vertical="center"/>
    </xf>
    <xf numFmtId="0" fontId="26" fillId="0" borderId="0" xfId="49" applyAlignment="1">
      <alignment horizontal="right" vertical="center"/>
    </xf>
    <xf numFmtId="180" fontId="26" fillId="0" borderId="13" xfId="49" applyNumberFormat="1" applyBorder="1">
      <alignment vertical="center"/>
    </xf>
    <xf numFmtId="180" fontId="0" fillId="0" borderId="0" xfId="51" applyNumberFormat="1" applyFont="1">
      <alignment vertical="center"/>
    </xf>
    <xf numFmtId="0" fontId="24" fillId="0" borderId="0" xfId="49" applyFont="1">
      <alignment vertical="center"/>
    </xf>
    <xf numFmtId="10" fontId="26" fillId="0" borderId="0" xfId="52" applyNumberFormat="1" applyFont="1" applyAlignment="1">
      <alignment vertical="center"/>
    </xf>
    <xf numFmtId="0" fontId="26" fillId="34" borderId="0" xfId="49" applyFill="1">
      <alignment vertical="center"/>
    </xf>
    <xf numFmtId="10" fontId="26" fillId="34" borderId="0" xfId="48" applyNumberFormat="1" applyFill="1">
      <alignment vertical="center"/>
    </xf>
    <xf numFmtId="0" fontId="0" fillId="0" borderId="0" xfId="49" applyFont="1" applyAlignment="1">
      <alignment horizontal="center" vertical="center"/>
    </xf>
    <xf numFmtId="0" fontId="35" fillId="0" borderId="0" xfId="49" applyFont="1">
      <alignment vertical="center"/>
    </xf>
    <xf numFmtId="10" fontId="26" fillId="33" borderId="0" xfId="52" applyNumberFormat="1" applyFont="1" applyFill="1" applyAlignment="1">
      <alignment vertical="center"/>
    </xf>
    <xf numFmtId="10" fontId="0" fillId="33" borderId="0" xfId="2" applyNumberFormat="1" applyFont="1" applyFill="1">
      <alignment vertical="center"/>
    </xf>
    <xf numFmtId="10" fontId="26" fillId="0" borderId="0" xfId="2" applyNumberFormat="1" applyFont="1">
      <alignment vertical="center"/>
    </xf>
    <xf numFmtId="179" fontId="26" fillId="0" borderId="0" xfId="49" applyNumberFormat="1">
      <alignment vertical="center"/>
    </xf>
    <xf numFmtId="179" fontId="26" fillId="0" borderId="0" xfId="53" applyFont="1" applyAlignment="1">
      <alignment vertical="center"/>
    </xf>
    <xf numFmtId="0" fontId="27" fillId="0" borderId="0" xfId="47"/>
    <xf numFmtId="10" fontId="26" fillId="0" borderId="0" xfId="49" applyNumberFormat="1">
      <alignment vertical="center"/>
    </xf>
    <xf numFmtId="180" fontId="26" fillId="0" borderId="0" xfId="2" applyNumberFormat="1" applyFont="1">
      <alignment vertical="center"/>
    </xf>
    <xf numFmtId="180" fontId="26" fillId="0" borderId="0" xfId="48" applyNumberFormat="1">
      <alignment vertical="center"/>
    </xf>
    <xf numFmtId="0" fontId="36" fillId="0" borderId="0" xfId="49" applyFont="1">
      <alignment vertical="center"/>
    </xf>
    <xf numFmtId="0" fontId="26" fillId="35" borderId="0" xfId="49" applyFill="1">
      <alignment vertical="center"/>
    </xf>
    <xf numFmtId="10" fontId="26" fillId="0" borderId="0" xfId="48" applyNumberFormat="1">
      <alignment vertical="center"/>
    </xf>
    <xf numFmtId="0" fontId="26" fillId="35" borderId="0" xfId="54" applyFill="1">
      <alignment vertical="center"/>
    </xf>
    <xf numFmtId="0" fontId="26" fillId="0" borderId="0" xfId="54">
      <alignment vertical="center"/>
    </xf>
    <xf numFmtId="0" fontId="0" fillId="34" borderId="0" xfId="54" applyFont="1" applyFill="1">
      <alignment vertical="center"/>
    </xf>
    <xf numFmtId="180" fontId="26" fillId="0" borderId="0" xfId="54" applyNumberFormat="1">
      <alignment vertical="center"/>
    </xf>
    <xf numFmtId="0" fontId="0" fillId="0" borderId="0" xfId="54" applyFont="1">
      <alignment vertical="center"/>
    </xf>
    <xf numFmtId="0" fontId="38" fillId="0" borderId="0" xfId="49" applyFont="1">
      <alignment vertical="center"/>
    </xf>
    <xf numFmtId="180" fontId="26" fillId="35" borderId="0" xfId="49" applyNumberFormat="1" applyFill="1">
      <alignment vertical="center"/>
    </xf>
    <xf numFmtId="180" fontId="26" fillId="34" borderId="0" xfId="49" applyNumberFormat="1" applyFill="1">
      <alignment vertical="center"/>
    </xf>
    <xf numFmtId="180" fontId="26" fillId="35" borderId="12" xfId="49" applyNumberFormat="1" applyFill="1" applyBorder="1">
      <alignment vertical="center"/>
    </xf>
    <xf numFmtId="10" fontId="0" fillId="0" borderId="0" xfId="50" applyNumberFormat="1" applyFont="1" applyFill="1">
      <alignment vertical="center"/>
    </xf>
    <xf numFmtId="180" fontId="0" fillId="0" borderId="0" xfId="51" applyNumberFormat="1" applyFont="1" applyFill="1">
      <alignment vertical="center"/>
    </xf>
    <xf numFmtId="10" fontId="26" fillId="0" borderId="0" xfId="52" applyNumberFormat="1" applyFont="1" applyFill="1" applyAlignment="1">
      <alignment vertical="center"/>
    </xf>
    <xf numFmtId="0" fontId="0" fillId="0" borderId="0" xfId="49" applyFont="1" applyAlignment="1">
      <alignment horizontal="left" vertical="center"/>
    </xf>
    <xf numFmtId="10" fontId="0" fillId="0" borderId="0" xfId="48" applyNumberFormat="1" applyFont="1" applyFill="1">
      <alignment vertical="center"/>
    </xf>
    <xf numFmtId="10" fontId="26" fillId="0" borderId="0" xfId="48" applyNumberFormat="1" applyFill="1">
      <alignment vertical="center"/>
    </xf>
    <xf numFmtId="179" fontId="26" fillId="0" borderId="0" xfId="53" applyFont="1" applyFill="1" applyAlignment="1">
      <alignment vertical="center"/>
    </xf>
    <xf numFmtId="182" fontId="26" fillId="46" borderId="0" xfId="49" applyNumberFormat="1" applyFill="1">
      <alignment vertical="center"/>
    </xf>
    <xf numFmtId="182" fontId="26" fillId="35" borderId="0" xfId="49" applyNumberFormat="1" applyFill="1">
      <alignment vertical="center"/>
    </xf>
    <xf numFmtId="182" fontId="26" fillId="34" borderId="0" xfId="49" applyNumberFormat="1" applyFill="1">
      <alignment vertical="center"/>
    </xf>
    <xf numFmtId="182" fontId="26" fillId="0" borderId="0" xfId="45" applyNumberFormat="1" applyFill="1">
      <alignment vertical="center"/>
    </xf>
    <xf numFmtId="182" fontId="26" fillId="35" borderId="12" xfId="45" applyNumberFormat="1" applyFill="1" applyBorder="1">
      <alignment vertical="center"/>
    </xf>
    <xf numFmtId="182" fontId="26" fillId="0" borderId="13" xfId="45" applyNumberFormat="1" applyFill="1" applyBorder="1">
      <alignment vertical="center"/>
    </xf>
    <xf numFmtId="180" fontId="0" fillId="0" borderId="0" xfId="48" applyNumberFormat="1" applyFont="1" applyFill="1">
      <alignment vertical="center"/>
    </xf>
    <xf numFmtId="180" fontId="26" fillId="0" borderId="0" xfId="48" applyNumberFormat="1" applyFill="1">
      <alignment vertical="center"/>
    </xf>
    <xf numFmtId="183" fontId="26" fillId="0" borderId="0" xfId="48" applyNumberFormat="1" applyFill="1">
      <alignment vertical="center"/>
    </xf>
    <xf numFmtId="180" fontId="0" fillId="0" borderId="0" xfId="49" applyNumberFormat="1" applyFont="1">
      <alignment vertical="center"/>
    </xf>
    <xf numFmtId="180" fontId="26" fillId="0" borderId="0" xfId="49" applyNumberFormat="1" applyAlignment="1">
      <alignment horizontal="right" vertical="center"/>
    </xf>
    <xf numFmtId="0" fontId="27" fillId="0" borderId="0" xfId="47" applyAlignment="1">
      <alignment horizontal="right"/>
    </xf>
    <xf numFmtId="0" fontId="20" fillId="0" borderId="0" xfId="47" applyFont="1" applyAlignment="1">
      <alignment horizontal="right"/>
    </xf>
    <xf numFmtId="14" fontId="27" fillId="0" borderId="0" xfId="47" applyNumberFormat="1"/>
    <xf numFmtId="179" fontId="0" fillId="0" borderId="0" xfId="53" applyFont="1"/>
    <xf numFmtId="184" fontId="0" fillId="0" borderId="0" xfId="53" applyNumberFormat="1" applyFont="1"/>
    <xf numFmtId="179" fontId="27" fillId="0" borderId="0" xfId="53"/>
    <xf numFmtId="0" fontId="31" fillId="0" borderId="0" xfId="47" applyFont="1" applyAlignment="1">
      <alignment horizontal="right"/>
    </xf>
    <xf numFmtId="177" fontId="31" fillId="0" borderId="0" xfId="45" applyNumberFormat="1" applyFont="1" applyAlignment="1"/>
    <xf numFmtId="177" fontId="20" fillId="0" borderId="0" xfId="53" applyNumberFormat="1" applyFont="1"/>
    <xf numFmtId="0" fontId="20" fillId="0" borderId="0" xfId="47" applyFont="1"/>
    <xf numFmtId="185" fontId="20" fillId="0" borderId="0" xfId="53" applyNumberFormat="1" applyFont="1"/>
    <xf numFmtId="10" fontId="20" fillId="0" borderId="0" xfId="52" applyNumberFormat="1" applyFont="1"/>
    <xf numFmtId="10" fontId="27" fillId="0" borderId="0" xfId="47" applyNumberFormat="1"/>
    <xf numFmtId="0" fontId="39" fillId="0" borderId="0" xfId="47" applyFont="1"/>
    <xf numFmtId="10" fontId="27" fillId="0" borderId="0" xfId="48" applyNumberFormat="1" applyFont="1" applyAlignment="1"/>
    <xf numFmtId="0" fontId="26" fillId="35" borderId="0" xfId="49" applyFill="1" applyAlignment="1">
      <alignment horizontal="right" vertical="center"/>
    </xf>
    <xf numFmtId="0" fontId="26" fillId="35" borderId="0" xfId="54" applyFill="1" applyAlignment="1">
      <alignment horizontal="right" vertical="center"/>
    </xf>
    <xf numFmtId="10" fontId="27" fillId="0" borderId="0" xfId="52" applyNumberFormat="1" applyAlignment="1">
      <alignment horizontal="right"/>
    </xf>
    <xf numFmtId="0" fontId="0" fillId="0" borderId="0" xfId="47" applyFont="1" applyAlignment="1">
      <alignment horizontal="right"/>
    </xf>
    <xf numFmtId="179" fontId="27" fillId="0" borderId="0" xfId="52" applyNumberFormat="1" applyAlignment="1">
      <alignment horizontal="right"/>
    </xf>
    <xf numFmtId="0" fontId="26" fillId="0" borderId="0" xfId="44" applyAlignment="1">
      <alignment horizontal="right"/>
    </xf>
    <xf numFmtId="0" fontId="26" fillId="34" borderId="0" xfId="49" applyFill="1" applyAlignment="1">
      <alignment horizontal="right" vertical="center"/>
    </xf>
    <xf numFmtId="10" fontId="27" fillId="34" borderId="0" xfId="52" applyNumberFormat="1" applyFill="1" applyAlignment="1">
      <alignment horizontal="right"/>
    </xf>
    <xf numFmtId="0" fontId="0" fillId="0" borderId="0" xfId="47" applyFont="1"/>
    <xf numFmtId="177" fontId="27" fillId="0" borderId="0" xfId="53" applyNumberFormat="1"/>
    <xf numFmtId="181" fontId="27" fillId="0" borderId="0" xfId="51" applyFont="1" applyAlignment="1"/>
    <xf numFmtId="14" fontId="0" fillId="0" borderId="0" xfId="0" applyNumberFormat="1">
      <alignment vertical="center"/>
    </xf>
    <xf numFmtId="0" fontId="26" fillId="34" borderId="0" xfId="44" applyFill="1">
      <alignment vertical="center"/>
    </xf>
    <xf numFmtId="0" fontId="31" fillId="0" borderId="0" xfId="44" applyFont="1">
      <alignment vertical="center"/>
    </xf>
    <xf numFmtId="178" fontId="27" fillId="0" borderId="0" xfId="2" applyNumberFormat="1" applyFont="1" applyAlignment="1"/>
    <xf numFmtId="182" fontId="26" fillId="0" borderId="0" xfId="49" applyNumberFormat="1">
      <alignment vertical="center"/>
    </xf>
    <xf numFmtId="182" fontId="0" fillId="0" borderId="0" xfId="49" applyNumberFormat="1" applyFont="1">
      <alignment vertical="center"/>
    </xf>
    <xf numFmtId="182" fontId="26" fillId="0" borderId="0" xfId="49" applyNumberFormat="1" applyAlignment="1">
      <alignment horizontal="right" vertical="center"/>
    </xf>
    <xf numFmtId="180" fontId="26" fillId="46" borderId="0" xfId="49" applyNumberFormat="1" applyFill="1">
      <alignment vertical="center"/>
    </xf>
    <xf numFmtId="180" fontId="26" fillId="46" borderId="12" xfId="49" applyNumberFormat="1" applyFill="1" applyBorder="1">
      <alignment vertical="center"/>
    </xf>
    <xf numFmtId="182" fontId="26" fillId="33" borderId="0" xfId="49" applyNumberFormat="1" applyFill="1">
      <alignment vertical="center"/>
    </xf>
    <xf numFmtId="182" fontId="26" fillId="33" borderId="12" xfId="45" applyNumberFormat="1" applyFill="1" applyBorder="1">
      <alignment vertical="center"/>
    </xf>
    <xf numFmtId="180" fontId="26" fillId="33" borderId="0" xfId="49" applyNumberFormat="1" applyFill="1">
      <alignment vertical="center"/>
    </xf>
    <xf numFmtId="180" fontId="26" fillId="34" borderId="12" xfId="49" applyNumberFormat="1" applyFill="1" applyBorder="1">
      <alignment vertical="center"/>
    </xf>
    <xf numFmtId="0" fontId="40" fillId="0" borderId="0" xfId="0" applyFont="1">
      <alignment vertical="center"/>
    </xf>
    <xf numFmtId="10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43" fontId="0" fillId="0" borderId="0" xfId="0" applyNumberFormat="1">
      <alignment vertical="center"/>
    </xf>
    <xf numFmtId="0" fontId="0" fillId="47" borderId="0" xfId="0" applyFill="1">
      <alignment vertical="center"/>
    </xf>
    <xf numFmtId="43" fontId="0" fillId="47" borderId="0" xfId="1" applyFont="1" applyFill="1">
      <alignment vertical="center"/>
    </xf>
    <xf numFmtId="186" fontId="0" fillId="47" borderId="0" xfId="0" applyNumberFormat="1" applyFill="1">
      <alignment vertical="center"/>
    </xf>
    <xf numFmtId="186" fontId="0" fillId="47" borderId="0" xfId="1" applyNumberFormat="1" applyFont="1" applyFill="1">
      <alignment vertical="center"/>
    </xf>
    <xf numFmtId="0" fontId="42" fillId="0" borderId="0" xfId="0" applyFont="1">
      <alignment vertical="center"/>
    </xf>
    <xf numFmtId="43" fontId="0" fillId="0" borderId="0" xfId="2" applyNumberFormat="1" applyFont="1">
      <alignment vertical="center"/>
    </xf>
    <xf numFmtId="0" fontId="0" fillId="35" borderId="0" xfId="0" applyFill="1">
      <alignment vertical="center"/>
    </xf>
    <xf numFmtId="43" fontId="27" fillId="0" borderId="0" xfId="1" applyFont="1" applyAlignment="1"/>
    <xf numFmtId="177" fontId="0" fillId="0" borderId="0" xfId="0" applyNumberFormat="1" applyAlignment="1">
      <alignment horizontal="center" vertical="center"/>
    </xf>
  </cellXfs>
  <cellStyles count="55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百分比" xfId="2" builtinId="5"/>
    <cellStyle name="百分比 2" xfId="48" xr:uid="{00000000-0005-0000-0000-000013000000}"/>
    <cellStyle name="百分比 2 2" xfId="52" xr:uid="{00000000-0005-0000-0000-000014000000}"/>
    <cellStyle name="百分比 2 2 2" xfId="50" xr:uid="{00000000-0005-0000-0000-000015000000}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常规 2" xfId="44" xr:uid="{00000000-0005-0000-0000-00001D000000}"/>
    <cellStyle name="常规 2 2" xfId="47" xr:uid="{00000000-0005-0000-0000-00001E000000}"/>
    <cellStyle name="常规 2 2 2" xfId="49" xr:uid="{00000000-0005-0000-0000-00001F000000}"/>
    <cellStyle name="常规 2 2 2 2" xfId="54" xr:uid="{00000000-0005-0000-0000-000020000000}"/>
    <cellStyle name="常规 3" xfId="46" xr:uid="{00000000-0005-0000-0000-000021000000}"/>
    <cellStyle name="好" xfId="8" builtinId="26" customBuiltin="1"/>
    <cellStyle name="汇总" xfId="19" builtinId="25" customBuiltin="1"/>
    <cellStyle name="计算" xfId="13" builtinId="22" customBuiltin="1"/>
    <cellStyle name="检查单元格" xfId="15" builtinId="23" customBuiltin="1"/>
    <cellStyle name="解释性文本" xfId="18" builtinId="53" customBuiltin="1"/>
    <cellStyle name="警告文本" xfId="16" builtinId="11" customBuiltin="1"/>
    <cellStyle name="链接单元格" xfId="14" builtinId="24" customBuiltin="1"/>
    <cellStyle name="千位分隔" xfId="1" builtinId="3"/>
    <cellStyle name="千位分隔 2" xfId="45" xr:uid="{00000000-0005-0000-0000-00002A000000}"/>
    <cellStyle name="千位分隔 2 2" xfId="53" xr:uid="{00000000-0005-0000-0000-00002B000000}"/>
    <cellStyle name="千位分隔 2 2 2" xfId="51" xr:uid="{00000000-0005-0000-0000-00002C000000}"/>
    <cellStyle name="适中" xfId="10" builtinId="28" customBuiltin="1"/>
    <cellStyle name="输出" xfId="12" builtinId="21" customBuiltin="1"/>
    <cellStyle name="输入" xfId="11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" xfId="1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</xdr:colOff>
      <xdr:row>0</xdr:row>
      <xdr:rowOff>-273050</xdr:rowOff>
    </xdr:from>
    <xdr:ext cx="11041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E82342DB-5BCC-77CF-1A8E-4B0D7B08C85B}"/>
                </a:ext>
              </a:extLst>
            </xdr:cNvPr>
            <xdr:cNvSpPr txBox="1"/>
          </xdr:nvSpPr>
          <xdr:spPr>
            <a:xfrm>
              <a:off x="7867650" y="-27305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∆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E82342DB-5BCC-77CF-1A8E-4B0D7B08C85B}"/>
                </a:ext>
              </a:extLst>
            </xdr:cNvPr>
            <xdr:cNvSpPr txBox="1"/>
          </xdr:nvSpPr>
          <xdr:spPr>
            <a:xfrm>
              <a:off x="7867650" y="-273050"/>
              <a:ext cx="11041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∆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10</xdr:col>
      <xdr:colOff>95250</xdr:colOff>
      <xdr:row>0</xdr:row>
      <xdr:rowOff>-273050</xdr:rowOff>
    </xdr:from>
    <xdr:ext cx="115486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D6B1FE5C-7888-CCF1-818C-E1A683CBEEEB}"/>
                </a:ext>
              </a:extLst>
            </xdr:cNvPr>
            <xdr:cNvSpPr txBox="1"/>
          </xdr:nvSpPr>
          <xdr:spPr>
            <a:xfrm>
              <a:off x="7867650" y="-273050"/>
              <a:ext cx="115486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zh-CN" altLang="en-US" sz="1100" i="1">
                        <a:latin typeface="Cambria Math" panose="02040503050406030204" pitchFamily="18" charset="0"/>
                      </a:rPr>
                      <a:t>在此处键入公式。</a:t>
                    </a:fld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D6B1FE5C-7888-CCF1-818C-E1A683CBEEEB}"/>
                </a:ext>
              </a:extLst>
            </xdr:cNvPr>
            <xdr:cNvSpPr txBox="1"/>
          </xdr:nvSpPr>
          <xdr:spPr>
            <a:xfrm>
              <a:off x="7867650" y="-273050"/>
              <a:ext cx="115486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"在此处键入公式。"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10</xdr:col>
      <xdr:colOff>95250</xdr:colOff>
      <xdr:row>0</xdr:row>
      <xdr:rowOff>-273050</xdr:rowOff>
    </xdr:from>
    <xdr:ext cx="19447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37F7F402-A883-EA36-4E6C-ACFFB093D632}"/>
                </a:ext>
              </a:extLst>
            </xdr:cNvPr>
            <xdr:cNvSpPr txBox="1"/>
          </xdr:nvSpPr>
          <xdr:spPr>
            <a:xfrm>
              <a:off x="7867650" y="-273050"/>
              <a:ext cx="1944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∆∆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37F7F402-A883-EA36-4E6C-ACFFB093D632}"/>
                </a:ext>
              </a:extLst>
            </xdr:cNvPr>
            <xdr:cNvSpPr txBox="1"/>
          </xdr:nvSpPr>
          <xdr:spPr>
            <a:xfrm>
              <a:off x="7867650" y="-273050"/>
              <a:ext cx="19447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∆∆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4"/>
  <sheetViews>
    <sheetView tabSelected="1" workbookViewId="0">
      <pane xSplit="1" ySplit="2" topLeftCell="B83" activePane="bottomRight" state="frozen"/>
      <selection pane="topRight" activeCell="B1" sqref="B1"/>
      <selection pane="bottomLeft" activeCell="A3" sqref="A3"/>
      <selection pane="bottomRight" activeCell="Q1" sqref="Q1:S1048576"/>
    </sheetView>
  </sheetViews>
  <sheetFormatPr baseColWidth="10" defaultRowHeight="16"/>
  <cols>
    <col min="1" max="1" width="31.5" bestFit="1" customWidth="1"/>
    <col min="2" max="16" width="17.33203125" bestFit="1" customWidth="1"/>
    <col min="17" max="17" width="20.1640625" customWidth="1"/>
    <col min="18" max="18" width="18" bestFit="1" customWidth="1"/>
    <col min="19" max="19" width="7" bestFit="1" customWidth="1"/>
  </cols>
  <sheetData>
    <row r="1" spans="1:19">
      <c r="A1" t="s">
        <v>185</v>
      </c>
      <c r="B1">
        <v>20240331</v>
      </c>
      <c r="C1" s="6">
        <v>20231231</v>
      </c>
      <c r="D1">
        <v>20230930</v>
      </c>
      <c r="E1">
        <v>20230630</v>
      </c>
      <c r="F1">
        <v>20230331</v>
      </c>
      <c r="G1" s="6">
        <v>20221231</v>
      </c>
      <c r="H1">
        <v>20220930</v>
      </c>
      <c r="I1">
        <v>20220630</v>
      </c>
      <c r="J1">
        <v>20220331</v>
      </c>
      <c r="K1" s="6">
        <v>20211231</v>
      </c>
      <c r="L1" s="6">
        <v>20201231</v>
      </c>
      <c r="M1" s="6">
        <v>20191231</v>
      </c>
      <c r="N1" s="6">
        <v>20181231</v>
      </c>
      <c r="O1" s="6">
        <v>20171231</v>
      </c>
      <c r="P1" s="7">
        <v>20161231</v>
      </c>
      <c r="Q1" t="s">
        <v>207</v>
      </c>
      <c r="S1" s="8" t="s">
        <v>208</v>
      </c>
    </row>
    <row r="2" spans="1:19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</row>
    <row r="3" spans="1:19">
      <c r="A3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>
      <c r="A4" t="s">
        <v>4</v>
      </c>
      <c r="B4" s="2">
        <v>79893620000</v>
      </c>
      <c r="C4" s="2">
        <v>83462320000</v>
      </c>
      <c r="D4" s="2">
        <v>79826634000</v>
      </c>
      <c r="E4" s="2">
        <v>83703809000</v>
      </c>
      <c r="F4" s="2">
        <v>80248318000</v>
      </c>
      <c r="G4" s="2">
        <v>69429837000</v>
      </c>
      <c r="H4" s="2">
        <v>71692576000</v>
      </c>
      <c r="I4" s="2">
        <v>78115190000</v>
      </c>
      <c r="J4" s="2">
        <v>82168597000</v>
      </c>
      <c r="K4" s="2">
        <v>82877051000</v>
      </c>
      <c r="L4" s="2">
        <v>78056602000</v>
      </c>
      <c r="M4" s="2">
        <v>66901133000</v>
      </c>
      <c r="N4" s="2">
        <v>62293132000</v>
      </c>
      <c r="O4" s="2">
        <v>15518982000</v>
      </c>
      <c r="P4" s="2">
        <v>4934544000</v>
      </c>
      <c r="Q4" s="9">
        <f>C4-P4</f>
        <v>78527776000</v>
      </c>
    </row>
    <row r="5" spans="1:19">
      <c r="A5" t="s">
        <v>5</v>
      </c>
      <c r="B5" s="2">
        <v>313304000</v>
      </c>
      <c r="C5" s="2">
        <v>333260000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9">
        <f t="shared" ref="Q5:Q67" si="0">C5-P5</f>
        <v>333260000</v>
      </c>
    </row>
    <row r="6" spans="1:19">
      <c r="A6" t="s">
        <v>6</v>
      </c>
      <c r="B6" s="2">
        <v>0</v>
      </c>
      <c r="C6" s="2">
        <v>279394000</v>
      </c>
      <c r="D6" s="2">
        <v>6960000</v>
      </c>
      <c r="E6" s="2">
        <v>10175000</v>
      </c>
      <c r="F6" s="2">
        <v>255506000</v>
      </c>
      <c r="G6" s="2">
        <v>15621000</v>
      </c>
      <c r="H6" s="2">
        <v>291102000</v>
      </c>
      <c r="I6" s="2">
        <v>42482000</v>
      </c>
      <c r="J6" s="2">
        <v>157545000</v>
      </c>
      <c r="K6" s="2">
        <v>246014000</v>
      </c>
      <c r="L6" s="2">
        <v>467888000</v>
      </c>
      <c r="M6" s="2">
        <v>157110000</v>
      </c>
      <c r="N6" s="2">
        <v>0</v>
      </c>
      <c r="O6" s="2">
        <v>0</v>
      </c>
      <c r="P6" s="2">
        <v>0</v>
      </c>
      <c r="Q6" s="9">
        <f t="shared" si="0"/>
        <v>279394000</v>
      </c>
    </row>
    <row r="7" spans="1:19">
      <c r="A7" s="3" t="s">
        <v>186</v>
      </c>
      <c r="B7" s="2">
        <v>81203806000</v>
      </c>
      <c r="C7" s="2">
        <v>88474241000</v>
      </c>
      <c r="D7" s="2">
        <v>79960512000</v>
      </c>
      <c r="E7" s="2">
        <v>74337688000</v>
      </c>
      <c r="F7" s="2">
        <v>65344050000</v>
      </c>
      <c r="G7" s="2">
        <v>97689782000</v>
      </c>
      <c r="H7" s="2">
        <v>107622529000</v>
      </c>
      <c r="I7" s="2">
        <v>89511871000</v>
      </c>
      <c r="J7" s="2">
        <v>76644056000</v>
      </c>
      <c r="K7" s="2">
        <v>87033843000</v>
      </c>
      <c r="L7" s="2">
        <v>86827595000</v>
      </c>
      <c r="M7" s="2">
        <v>84643735000</v>
      </c>
      <c r="N7" s="2">
        <v>86117905000</v>
      </c>
      <c r="O7" s="2">
        <v>78513196000</v>
      </c>
      <c r="P7" s="2">
        <v>54573777000</v>
      </c>
      <c r="Q7" s="9"/>
    </row>
    <row r="8" spans="1:19">
      <c r="A8" t="s">
        <v>7</v>
      </c>
      <c r="B8" s="2">
        <v>12170000</v>
      </c>
      <c r="C8" s="2">
        <v>7375000</v>
      </c>
      <c r="D8" s="2">
        <v>2597000</v>
      </c>
      <c r="E8" s="2">
        <v>4105000</v>
      </c>
      <c r="F8" s="2">
        <v>5026000</v>
      </c>
      <c r="G8" s="2">
        <v>16862000</v>
      </c>
      <c r="H8" s="2">
        <v>23024000</v>
      </c>
      <c r="I8" s="2">
        <v>15409000</v>
      </c>
      <c r="J8" s="2">
        <v>5416000</v>
      </c>
      <c r="K8" s="2">
        <v>4146000</v>
      </c>
      <c r="L8" s="2">
        <v>100000</v>
      </c>
      <c r="M8" s="2">
        <v>0</v>
      </c>
      <c r="N8" s="2">
        <v>923000</v>
      </c>
      <c r="O8" s="2">
        <v>0</v>
      </c>
      <c r="P8" s="2">
        <v>0</v>
      </c>
      <c r="Q8" s="9">
        <f t="shared" si="0"/>
        <v>7375000</v>
      </c>
    </row>
    <row r="9" spans="1:19">
      <c r="A9" t="s">
        <v>8</v>
      </c>
      <c r="B9" s="2">
        <v>81191636000</v>
      </c>
      <c r="C9" s="2">
        <v>88466866000</v>
      </c>
      <c r="D9" s="2">
        <v>79957915000</v>
      </c>
      <c r="E9" s="2">
        <v>74333583000</v>
      </c>
      <c r="F9" s="2">
        <v>65339024000</v>
      </c>
      <c r="G9" s="2">
        <v>97672920000</v>
      </c>
      <c r="H9" s="2">
        <v>107599505000</v>
      </c>
      <c r="I9" s="2">
        <v>89496462000</v>
      </c>
      <c r="J9" s="2">
        <v>76638640000</v>
      </c>
      <c r="K9" s="2">
        <v>87029697000</v>
      </c>
      <c r="L9" s="2">
        <v>86827495000</v>
      </c>
      <c r="M9" s="2">
        <v>84643735000</v>
      </c>
      <c r="N9" s="2">
        <v>86116982000</v>
      </c>
      <c r="O9" s="2">
        <v>78513196000</v>
      </c>
      <c r="P9" s="2">
        <v>54573777000</v>
      </c>
      <c r="Q9" s="9">
        <f t="shared" si="0"/>
        <v>33893089000</v>
      </c>
    </row>
    <row r="10" spans="1:19">
      <c r="A10" s="4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9">
        <f t="shared" si="0"/>
        <v>0</v>
      </c>
    </row>
    <row r="11" spans="1:19">
      <c r="A11" t="s">
        <v>10</v>
      </c>
      <c r="B11" s="2">
        <v>339159000</v>
      </c>
      <c r="C11" s="2">
        <v>254708000</v>
      </c>
      <c r="D11" s="2">
        <v>519815000</v>
      </c>
      <c r="E11" s="2">
        <v>452718000</v>
      </c>
      <c r="F11" s="2">
        <v>698360000</v>
      </c>
      <c r="G11" s="2">
        <v>352362000</v>
      </c>
      <c r="H11" s="2">
        <v>356090000</v>
      </c>
      <c r="I11" s="2">
        <v>258772000</v>
      </c>
      <c r="J11" s="2">
        <v>482126000</v>
      </c>
      <c r="K11" s="2">
        <v>241612000</v>
      </c>
      <c r="L11" s="2">
        <v>171467000</v>
      </c>
      <c r="M11" s="2">
        <v>228837000</v>
      </c>
      <c r="N11" s="2">
        <v>215215000</v>
      </c>
      <c r="O11" s="2">
        <v>162513000</v>
      </c>
      <c r="P11" s="2">
        <v>113861000</v>
      </c>
      <c r="Q11" s="9">
        <f t="shared" si="0"/>
        <v>140847000</v>
      </c>
    </row>
    <row r="12" spans="1:19">
      <c r="A12" s="3" t="s">
        <v>187</v>
      </c>
      <c r="B12" s="2">
        <v>834175000</v>
      </c>
      <c r="C12" s="2">
        <v>853454000</v>
      </c>
      <c r="D12" s="2">
        <v>1224739000</v>
      </c>
      <c r="E12" s="2">
        <v>1213150000</v>
      </c>
      <c r="F12" s="2">
        <v>1153116000</v>
      </c>
      <c r="G12" s="2">
        <v>1878878000</v>
      </c>
      <c r="H12" s="2">
        <v>1009895000</v>
      </c>
      <c r="I12" s="2">
        <v>2045949000</v>
      </c>
      <c r="J12" s="2">
        <v>2533516000</v>
      </c>
      <c r="K12" s="2">
        <v>2516749000</v>
      </c>
      <c r="L12" s="2">
        <v>395724000</v>
      </c>
      <c r="M12" s="2">
        <v>455959000</v>
      </c>
      <c r="N12" s="2">
        <v>1354727000</v>
      </c>
      <c r="O12" s="2">
        <v>3094712000</v>
      </c>
      <c r="P12" s="2">
        <v>32600874000</v>
      </c>
      <c r="Q12" s="9"/>
    </row>
    <row r="13" spans="1:19">
      <c r="A13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166075000</v>
      </c>
      <c r="O13" s="2">
        <v>0</v>
      </c>
      <c r="P13" s="2">
        <v>0</v>
      </c>
      <c r="Q13" s="9">
        <f t="shared" si="0"/>
        <v>0</v>
      </c>
    </row>
    <row r="14" spans="1:19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9">
        <f t="shared" si="0"/>
        <v>0</v>
      </c>
    </row>
    <row r="15" spans="1:19">
      <c r="A15" t="s">
        <v>13</v>
      </c>
      <c r="B15" s="2">
        <v>0</v>
      </c>
      <c r="C15" s="2">
        <v>853454000</v>
      </c>
      <c r="D15" s="2">
        <v>0</v>
      </c>
      <c r="E15" s="2">
        <v>1213150000</v>
      </c>
      <c r="F15" s="2">
        <v>0</v>
      </c>
      <c r="G15" s="2">
        <v>1878878000</v>
      </c>
      <c r="H15" s="2">
        <v>0</v>
      </c>
      <c r="I15" s="2">
        <v>0</v>
      </c>
      <c r="J15" s="2">
        <v>0</v>
      </c>
      <c r="K15" s="2">
        <v>2516749000</v>
      </c>
      <c r="L15" s="2">
        <v>395724000</v>
      </c>
      <c r="M15" s="2">
        <v>455959000</v>
      </c>
      <c r="N15" s="2">
        <v>1223171000</v>
      </c>
      <c r="O15" s="2">
        <v>3094712000</v>
      </c>
      <c r="P15" s="2">
        <v>32600874000</v>
      </c>
      <c r="Q15" s="9">
        <f t="shared" si="0"/>
        <v>-31747420000</v>
      </c>
    </row>
    <row r="16" spans="1:19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9">
        <f t="shared" si="0"/>
        <v>0</v>
      </c>
    </row>
    <row r="17" spans="1:19">
      <c r="A17" t="s">
        <v>15</v>
      </c>
      <c r="B17" s="2">
        <v>76456995000</v>
      </c>
      <c r="C17" s="2">
        <v>76683349000</v>
      </c>
      <c r="D17" s="2">
        <v>76646324000</v>
      </c>
      <c r="E17" s="2">
        <v>73334293000</v>
      </c>
      <c r="F17" s="2">
        <v>74633908000</v>
      </c>
      <c r="G17" s="2">
        <v>77321754000</v>
      </c>
      <c r="H17" s="2">
        <v>81058282000</v>
      </c>
      <c r="I17" s="2">
        <v>81427381000</v>
      </c>
      <c r="J17" s="2">
        <v>76608642000</v>
      </c>
      <c r="K17" s="2">
        <v>71927837000</v>
      </c>
      <c r="L17" s="2">
        <v>45353900000</v>
      </c>
      <c r="M17" s="2">
        <v>41645951000</v>
      </c>
      <c r="N17" s="2">
        <v>37467635000</v>
      </c>
      <c r="O17" s="2">
        <v>35551035000</v>
      </c>
      <c r="P17" s="2">
        <v>28561440000</v>
      </c>
      <c r="Q17" s="9">
        <f t="shared" si="0"/>
        <v>48121909000</v>
      </c>
    </row>
    <row r="18" spans="1:19">
      <c r="A18" t="s">
        <v>188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9">
        <f t="shared" si="0"/>
        <v>0</v>
      </c>
    </row>
    <row r="19" spans="1:19">
      <c r="A19" t="s">
        <v>16</v>
      </c>
      <c r="B19" s="2">
        <v>0</v>
      </c>
      <c r="C19" s="2">
        <v>0</v>
      </c>
      <c r="D19" s="2">
        <v>0</v>
      </c>
      <c r="E19" s="2">
        <v>0</v>
      </c>
      <c r="F19" s="2">
        <v>10000000</v>
      </c>
      <c r="G19" s="2">
        <v>10000000</v>
      </c>
      <c r="H19" s="2">
        <v>41598000</v>
      </c>
      <c r="I19" s="2">
        <v>41598000</v>
      </c>
      <c r="J19" s="2">
        <v>31517000</v>
      </c>
      <c r="K19" s="2">
        <v>31518000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9">
        <f t="shared" si="0"/>
        <v>0</v>
      </c>
    </row>
    <row r="20" spans="1:19">
      <c r="A20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9">
        <f t="shared" si="0"/>
        <v>0</v>
      </c>
    </row>
    <row r="21" spans="1:19">
      <c r="A21" t="s">
        <v>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9">
        <f t="shared" si="0"/>
        <v>0</v>
      </c>
    </row>
    <row r="22" spans="1:19">
      <c r="A22" t="s">
        <v>19</v>
      </c>
      <c r="B22" s="2">
        <v>2186413000</v>
      </c>
      <c r="C22" s="2">
        <v>2137731000</v>
      </c>
      <c r="D22" s="2">
        <v>2055411000</v>
      </c>
      <c r="E22" s="2">
        <v>2046238000</v>
      </c>
      <c r="F22" s="2">
        <v>1989539000</v>
      </c>
      <c r="G22" s="2">
        <v>2241624000</v>
      </c>
      <c r="H22" s="2">
        <v>2235380000</v>
      </c>
      <c r="I22" s="2">
        <v>1905421000</v>
      </c>
      <c r="J22" s="2">
        <v>2323427000</v>
      </c>
      <c r="K22" s="2">
        <v>2283751000</v>
      </c>
      <c r="L22" s="2">
        <v>1980764000</v>
      </c>
      <c r="M22" s="2">
        <v>1657398000</v>
      </c>
      <c r="N22" s="2">
        <v>2478701000</v>
      </c>
      <c r="O22" s="2">
        <v>3830059000</v>
      </c>
      <c r="P22" s="2">
        <v>1132571000</v>
      </c>
      <c r="Q22" s="9">
        <f t="shared" si="0"/>
        <v>1005160000</v>
      </c>
    </row>
    <row r="23" spans="1:19">
      <c r="A23" t="s">
        <v>20</v>
      </c>
      <c r="B23" s="2">
        <v>241227472000</v>
      </c>
      <c r="C23" s="2">
        <v>252478457000</v>
      </c>
      <c r="D23" s="2">
        <v>240240395000</v>
      </c>
      <c r="E23" s="2">
        <v>235098071000</v>
      </c>
      <c r="F23" s="2">
        <v>224332797000</v>
      </c>
      <c r="G23" s="2">
        <v>248939858000</v>
      </c>
      <c r="H23" s="2">
        <v>264307452000</v>
      </c>
      <c r="I23" s="2">
        <v>253348664000</v>
      </c>
      <c r="J23" s="2">
        <v>240949426000</v>
      </c>
      <c r="K23" s="2">
        <v>247158375000</v>
      </c>
      <c r="L23" s="2">
        <v>213253940000</v>
      </c>
      <c r="M23" s="2">
        <v>195690123000</v>
      </c>
      <c r="N23" s="2">
        <v>189927315000</v>
      </c>
      <c r="O23" s="2">
        <v>136670497000</v>
      </c>
      <c r="P23" s="2">
        <v>121917067000</v>
      </c>
      <c r="Q23" s="9">
        <f t="shared" si="0"/>
        <v>130561390000</v>
      </c>
      <c r="R23" s="9">
        <f>SUM(Q4:Q22)</f>
        <v>130561390000</v>
      </c>
      <c r="S23" s="10">
        <f>Q23-R23</f>
        <v>0</v>
      </c>
    </row>
    <row r="24" spans="1:19">
      <c r="A24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9">
        <f t="shared" si="0"/>
        <v>0</v>
      </c>
    </row>
    <row r="25" spans="1:19">
      <c r="A25" t="s">
        <v>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9">
        <f t="shared" si="0"/>
        <v>0</v>
      </c>
    </row>
    <row r="26" spans="1:19">
      <c r="A26" t="s">
        <v>189</v>
      </c>
      <c r="B26" s="2">
        <v>0</v>
      </c>
      <c r="C26" s="2">
        <f>742863*1000</f>
        <v>742863000</v>
      </c>
      <c r="D26" s="2">
        <v>0</v>
      </c>
      <c r="E26" s="2">
        <v>0</v>
      </c>
      <c r="F26" s="2">
        <v>0</v>
      </c>
      <c r="G26" s="2">
        <f>388257*1000</f>
        <v>388257000</v>
      </c>
      <c r="H26" s="2">
        <v>0</v>
      </c>
      <c r="I26" s="2">
        <v>0</v>
      </c>
      <c r="J26" s="2">
        <v>0</v>
      </c>
      <c r="K26" s="2">
        <f>128747*1000</f>
        <v>128747000</v>
      </c>
      <c r="L26" s="2">
        <v>0</v>
      </c>
      <c r="M26" s="2">
        <v>0</v>
      </c>
      <c r="N26" s="2">
        <v>40760000</v>
      </c>
      <c r="O26" s="2">
        <v>3000000</v>
      </c>
      <c r="P26" s="2">
        <v>46392000</v>
      </c>
      <c r="Q26" s="9">
        <f t="shared" si="0"/>
        <v>696471000</v>
      </c>
    </row>
    <row r="27" spans="1:19">
      <c r="A27" t="s">
        <v>190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9">
        <f t="shared" si="0"/>
        <v>0</v>
      </c>
    </row>
    <row r="28" spans="1:19">
      <c r="A28" t="s">
        <v>191</v>
      </c>
      <c r="B28" s="2">
        <v>62982000</v>
      </c>
      <c r="C28" s="2">
        <v>62982000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9">
        <f t="shared" si="0"/>
        <v>62982000</v>
      </c>
    </row>
    <row r="29" spans="1:19">
      <c r="A29" t="s">
        <v>23</v>
      </c>
      <c r="B29" s="2">
        <v>6156265000</v>
      </c>
      <c r="C29" s="2">
        <v>7179747000</v>
      </c>
      <c r="D29" s="2">
        <v>6928598000</v>
      </c>
      <c r="E29" s="2">
        <v>9084440000</v>
      </c>
      <c r="F29" s="2">
        <v>9488334000</v>
      </c>
      <c r="G29" s="2">
        <v>12215696000</v>
      </c>
      <c r="H29" s="2">
        <v>12205474000</v>
      </c>
      <c r="I29" s="2">
        <v>12182997000</v>
      </c>
      <c r="J29" s="2">
        <v>3164642000</v>
      </c>
      <c r="K29" s="2">
        <v>3167922000</v>
      </c>
      <c r="L29" s="2">
        <v>1167690000</v>
      </c>
      <c r="M29" s="2">
        <v>533446000</v>
      </c>
      <c r="N29" s="2">
        <v>393664000</v>
      </c>
      <c r="O29" s="2">
        <v>0</v>
      </c>
      <c r="P29" s="2">
        <v>37500000</v>
      </c>
      <c r="Q29" s="9">
        <f t="shared" si="0"/>
        <v>7142247000</v>
      </c>
    </row>
    <row r="30" spans="1:19">
      <c r="A30" t="s">
        <v>24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19820000</v>
      </c>
      <c r="Q30" s="9">
        <f t="shared" si="0"/>
        <v>-19820000</v>
      </c>
    </row>
    <row r="31" spans="1:19">
      <c r="A31" s="3" t="s">
        <v>192</v>
      </c>
      <c r="B31" s="2">
        <v>2453239000</v>
      </c>
      <c r="C31" s="2">
        <v>2508056000</v>
      </c>
      <c r="D31" s="2">
        <v>1558865000</v>
      </c>
      <c r="E31" s="2">
        <v>950122000</v>
      </c>
      <c r="F31" s="2">
        <v>791864000</v>
      </c>
      <c r="G31" s="2">
        <v>701408000</v>
      </c>
      <c r="H31" s="2">
        <v>1943146000</v>
      </c>
      <c r="I31" s="2">
        <v>1059779000</v>
      </c>
      <c r="J31" s="2">
        <v>1423164000</v>
      </c>
      <c r="K31" s="2">
        <v>1414692000</v>
      </c>
      <c r="L31" s="2">
        <v>643821000</v>
      </c>
      <c r="M31" s="2">
        <v>445902000</v>
      </c>
      <c r="N31" s="2">
        <v>501073000</v>
      </c>
      <c r="O31" s="2">
        <v>727529000</v>
      </c>
      <c r="P31" s="2">
        <v>0</v>
      </c>
      <c r="Q31" s="9"/>
    </row>
    <row r="32" spans="1:19">
      <c r="A32" t="s">
        <v>25</v>
      </c>
      <c r="B32" s="2">
        <v>0</v>
      </c>
      <c r="C32" s="2">
        <v>2508056000</v>
      </c>
      <c r="D32" s="2">
        <v>0</v>
      </c>
      <c r="E32" s="2">
        <v>950122000</v>
      </c>
      <c r="F32" s="2">
        <v>0</v>
      </c>
      <c r="G32" s="2">
        <v>701408000</v>
      </c>
      <c r="H32" s="2">
        <v>0</v>
      </c>
      <c r="I32" s="2">
        <v>1059779000</v>
      </c>
      <c r="J32" s="2">
        <v>0</v>
      </c>
      <c r="K32" s="2">
        <v>1414692000</v>
      </c>
      <c r="L32" s="2">
        <v>643821000</v>
      </c>
      <c r="M32" s="2">
        <v>445902000</v>
      </c>
      <c r="N32" s="2">
        <v>501073000</v>
      </c>
      <c r="O32" s="2">
        <v>727529000</v>
      </c>
      <c r="P32" s="2">
        <v>545608000</v>
      </c>
      <c r="Q32" s="9">
        <f t="shared" si="0"/>
        <v>1962448000</v>
      </c>
    </row>
    <row r="33" spans="1:19">
      <c r="A33" t="s">
        <v>26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9">
        <f t="shared" si="0"/>
        <v>0</v>
      </c>
    </row>
    <row r="34" spans="1:19">
      <c r="A34" s="3" t="s">
        <v>193</v>
      </c>
      <c r="B34" s="2">
        <v>18224552000</v>
      </c>
      <c r="C34" s="2">
        <v>17711566000</v>
      </c>
      <c r="D34" s="2">
        <v>15895580000</v>
      </c>
      <c r="E34" s="2">
        <v>15439300000</v>
      </c>
      <c r="F34" s="2">
        <v>15944644000</v>
      </c>
      <c r="G34" s="2">
        <v>15937003000</v>
      </c>
      <c r="H34" s="2">
        <v>11858129000</v>
      </c>
      <c r="I34" s="2">
        <v>10719081000</v>
      </c>
      <c r="J34" s="2">
        <v>10028389000</v>
      </c>
      <c r="K34" s="2">
        <v>9493537000</v>
      </c>
      <c r="L34" s="2">
        <v>7123034000</v>
      </c>
      <c r="M34" s="2">
        <v>6644364000</v>
      </c>
      <c r="N34" s="2">
        <v>7596072000</v>
      </c>
      <c r="O34" s="2">
        <v>9032519000</v>
      </c>
      <c r="P34" s="2">
        <v>0</v>
      </c>
      <c r="Q34" s="9"/>
    </row>
    <row r="35" spans="1:19">
      <c r="A35" t="s">
        <v>27</v>
      </c>
      <c r="B35" s="2">
        <f>B34</f>
        <v>18224552000</v>
      </c>
      <c r="C35" s="2">
        <v>17711566000</v>
      </c>
      <c r="D35" s="2">
        <v>0</v>
      </c>
      <c r="E35" s="2">
        <v>15439300000</v>
      </c>
      <c r="F35" s="2">
        <v>0</v>
      </c>
      <c r="G35" s="2">
        <v>15937003000</v>
      </c>
      <c r="H35" s="2">
        <v>0</v>
      </c>
      <c r="I35" s="2">
        <v>10719081000</v>
      </c>
      <c r="J35" s="2">
        <v>0</v>
      </c>
      <c r="K35" s="2">
        <v>9493537000</v>
      </c>
      <c r="L35" s="2">
        <v>7123034000</v>
      </c>
      <c r="M35" s="2">
        <v>6644364000</v>
      </c>
      <c r="N35" s="2">
        <v>7596072000</v>
      </c>
      <c r="O35" s="2">
        <v>9032519000</v>
      </c>
      <c r="P35" s="2">
        <v>11359288000</v>
      </c>
      <c r="Q35" s="9">
        <f t="shared" si="0"/>
        <v>6352278000</v>
      </c>
    </row>
    <row r="36" spans="1:19">
      <c r="A36" t="s">
        <v>28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9">
        <f t="shared" si="0"/>
        <v>0</v>
      </c>
    </row>
    <row r="37" spans="1:19">
      <c r="A37" t="s">
        <v>29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9">
        <f t="shared" si="0"/>
        <v>0</v>
      </c>
    </row>
    <row r="38" spans="1:19">
      <c r="A38" t="s">
        <v>30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9">
        <f t="shared" si="0"/>
        <v>0</v>
      </c>
    </row>
    <row r="39" spans="1:19">
      <c r="A39" t="s">
        <v>31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9">
        <f t="shared" si="0"/>
        <v>0</v>
      </c>
    </row>
    <row r="40" spans="1:19">
      <c r="A40" s="4" t="s">
        <v>32</v>
      </c>
      <c r="B40" s="2">
        <v>1895890000</v>
      </c>
      <c r="C40" s="2">
        <v>1571141000</v>
      </c>
      <c r="D40" s="2">
        <v>1699792000</v>
      </c>
      <c r="E40" s="2">
        <v>1808249000</v>
      </c>
      <c r="F40" s="2">
        <v>1975569000</v>
      </c>
      <c r="G40" s="2">
        <v>2077855000</v>
      </c>
      <c r="H40" s="2">
        <v>1999763000</v>
      </c>
      <c r="I40" s="2">
        <v>2013156000</v>
      </c>
      <c r="J40" s="2">
        <v>2020061000</v>
      </c>
      <c r="K40" s="2">
        <v>2119621000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9">
        <f t="shared" si="0"/>
        <v>1571141000</v>
      </c>
    </row>
    <row r="41" spans="1:19">
      <c r="A41" t="s">
        <v>33</v>
      </c>
      <c r="B41" s="2">
        <v>1443770000</v>
      </c>
      <c r="C41" s="2">
        <v>1004412000</v>
      </c>
      <c r="D41" s="2">
        <v>537871000</v>
      </c>
      <c r="E41" s="2">
        <v>520887000</v>
      </c>
      <c r="F41" s="2">
        <v>449118000</v>
      </c>
      <c r="G41" s="2">
        <v>440305000</v>
      </c>
      <c r="H41" s="2">
        <v>454768000</v>
      </c>
      <c r="I41" s="2">
        <v>432764000</v>
      </c>
      <c r="J41" s="2">
        <v>431860000</v>
      </c>
      <c r="K41" s="2">
        <v>407013000</v>
      </c>
      <c r="L41" s="2">
        <v>405317000</v>
      </c>
      <c r="M41" s="2">
        <v>185727000</v>
      </c>
      <c r="N41" s="2">
        <v>196982000</v>
      </c>
      <c r="O41" s="2">
        <v>225285000</v>
      </c>
      <c r="P41" s="2">
        <v>244349000</v>
      </c>
      <c r="Q41" s="9">
        <f t="shared" si="0"/>
        <v>760063000</v>
      </c>
    </row>
    <row r="42" spans="1:19">
      <c r="A42" t="s">
        <v>34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9">
        <f t="shared" si="0"/>
        <v>0</v>
      </c>
    </row>
    <row r="43" spans="1:19">
      <c r="A43" t="s">
        <v>35</v>
      </c>
      <c r="B43" s="2">
        <v>310153000</v>
      </c>
      <c r="C43" s="2">
        <v>310153000</v>
      </c>
      <c r="D43" s="2">
        <v>310153000</v>
      </c>
      <c r="E43" s="2">
        <v>310153000</v>
      </c>
      <c r="F43" s="2">
        <v>310153000</v>
      </c>
      <c r="G43" s="2">
        <v>310153000</v>
      </c>
      <c r="H43" s="2">
        <v>310153000</v>
      </c>
      <c r="I43" s="2">
        <v>310153000</v>
      </c>
      <c r="J43" s="2">
        <v>311199000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9">
        <f t="shared" si="0"/>
        <v>310153000</v>
      </c>
    </row>
    <row r="44" spans="1:19">
      <c r="A44" t="s">
        <v>36</v>
      </c>
      <c r="B44" s="2">
        <v>2646913000</v>
      </c>
      <c r="C44" s="2">
        <v>2666774000</v>
      </c>
      <c r="D44" s="2">
        <v>2160105000</v>
      </c>
      <c r="E44" s="2">
        <v>2123192000</v>
      </c>
      <c r="F44" s="2">
        <v>1780682000</v>
      </c>
      <c r="G44" s="2">
        <v>1744506000</v>
      </c>
      <c r="H44" s="2">
        <v>1568050000</v>
      </c>
      <c r="I44" s="2">
        <v>1382381000</v>
      </c>
      <c r="J44" s="2">
        <v>1246550000</v>
      </c>
      <c r="K44" s="2">
        <v>1255753000</v>
      </c>
      <c r="L44" s="2">
        <v>935728000</v>
      </c>
      <c r="M44" s="2">
        <v>664612000</v>
      </c>
      <c r="N44" s="2">
        <v>549145000</v>
      </c>
      <c r="O44" s="2">
        <v>341073000</v>
      </c>
      <c r="P44" s="2">
        <v>231185000</v>
      </c>
      <c r="Q44" s="9">
        <f t="shared" si="0"/>
        <v>2435589000</v>
      </c>
    </row>
    <row r="45" spans="1:19">
      <c r="A45" t="s">
        <v>37</v>
      </c>
      <c r="B45" s="2">
        <v>865472000</v>
      </c>
      <c r="C45" s="2">
        <v>777928000</v>
      </c>
      <c r="D45" s="2">
        <v>854754000</v>
      </c>
      <c r="E45" s="2">
        <v>983796000</v>
      </c>
      <c r="F45" s="2">
        <v>1023537000</v>
      </c>
      <c r="G45" s="2">
        <v>954625000</v>
      </c>
      <c r="H45" s="2">
        <v>1007681000</v>
      </c>
      <c r="I45" s="2">
        <v>1229704000</v>
      </c>
      <c r="J45" s="2">
        <v>1016545000</v>
      </c>
      <c r="K45" s="2">
        <v>1030287000</v>
      </c>
      <c r="L45" s="2">
        <v>1189043000</v>
      </c>
      <c r="M45" s="2">
        <v>1089906000</v>
      </c>
      <c r="N45" s="2">
        <v>1283248000</v>
      </c>
      <c r="O45" s="2">
        <v>1457368000</v>
      </c>
      <c r="P45" s="2">
        <v>1284652000</v>
      </c>
      <c r="Q45" s="9">
        <f t="shared" si="0"/>
        <v>-506724000</v>
      </c>
    </row>
    <row r="46" spans="1:19">
      <c r="A46" t="s">
        <v>38</v>
      </c>
      <c r="B46" s="2">
        <v>698701000</v>
      </c>
      <c r="C46" s="2">
        <v>691222000</v>
      </c>
      <c r="D46" s="2">
        <v>1109118000</v>
      </c>
      <c r="E46" s="2">
        <v>1116892000</v>
      </c>
      <c r="F46" s="2">
        <v>978745000</v>
      </c>
      <c r="G46" s="2">
        <v>477996000</v>
      </c>
      <c r="H46" s="2">
        <v>472908000</v>
      </c>
      <c r="I46" s="2">
        <v>495762000</v>
      </c>
      <c r="J46" s="2">
        <v>6897077000</v>
      </c>
      <c r="K46" s="2">
        <v>422828000</v>
      </c>
      <c r="L46" s="2">
        <v>400232000</v>
      </c>
      <c r="M46" s="2">
        <v>341937000</v>
      </c>
      <c r="N46" s="2">
        <v>115065000</v>
      </c>
      <c r="O46" s="2">
        <v>138970000</v>
      </c>
      <c r="P46" s="2">
        <v>57798000</v>
      </c>
      <c r="Q46" s="9">
        <f t="shared" si="0"/>
        <v>633424000</v>
      </c>
    </row>
    <row r="47" spans="1:19">
      <c r="A47" s="4" t="s">
        <v>39</v>
      </c>
      <c r="B47" s="2">
        <v>35485870000</v>
      </c>
      <c r="C47" s="2">
        <v>35226844000</v>
      </c>
      <c r="D47" s="2">
        <v>32104603000</v>
      </c>
      <c r="E47" s="2">
        <v>33054191000</v>
      </c>
      <c r="F47" s="2">
        <v>33279208000</v>
      </c>
      <c r="G47" s="2">
        <v>35247804000</v>
      </c>
      <c r="H47" s="2">
        <v>32173179000</v>
      </c>
      <c r="I47" s="2">
        <v>30176510000</v>
      </c>
      <c r="J47" s="2">
        <v>26678171000</v>
      </c>
      <c r="K47" s="2">
        <v>19450400000</v>
      </c>
      <c r="L47" s="2">
        <v>12260004000</v>
      </c>
      <c r="M47" s="2">
        <v>9922822000</v>
      </c>
      <c r="N47" s="2">
        <v>10676009000</v>
      </c>
      <c r="O47" s="2">
        <v>11925744000</v>
      </c>
      <c r="P47" s="2">
        <v>13826592000</v>
      </c>
      <c r="Q47" s="10">
        <f t="shared" si="0"/>
        <v>21400252000</v>
      </c>
      <c r="R47" s="10">
        <f>SUM(Q25:Q46)</f>
        <v>21400252000</v>
      </c>
      <c r="S47" s="10">
        <f>Q47-R47</f>
        <v>0</v>
      </c>
    </row>
    <row r="48" spans="1:19">
      <c r="A48" t="s">
        <v>40</v>
      </c>
      <c r="B48" s="2">
        <v>276713342000</v>
      </c>
      <c r="C48" s="2">
        <v>287705301000</v>
      </c>
      <c r="D48" s="2">
        <v>272344998000</v>
      </c>
      <c r="E48" s="2">
        <v>268152262000</v>
      </c>
      <c r="F48" s="2">
        <v>257612005000</v>
      </c>
      <c r="G48" s="2">
        <v>284187662000</v>
      </c>
      <c r="H48" s="2">
        <v>296480631000</v>
      </c>
      <c r="I48" s="2">
        <v>283525174000</v>
      </c>
      <c r="J48" s="2">
        <v>267627597000</v>
      </c>
      <c r="K48" s="2">
        <v>266608775000</v>
      </c>
      <c r="L48" s="2">
        <v>225513944000</v>
      </c>
      <c r="M48" s="2">
        <v>205612945000</v>
      </c>
      <c r="N48" s="2">
        <v>200603324000</v>
      </c>
      <c r="O48" s="2">
        <v>148596241000</v>
      </c>
      <c r="P48" s="2">
        <v>135743659000</v>
      </c>
      <c r="Q48" s="9">
        <f t="shared" si="0"/>
        <v>151961642000</v>
      </c>
    </row>
    <row r="49" spans="1:17">
      <c r="A49" t="s">
        <v>41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9">
        <f t="shared" si="0"/>
        <v>0</v>
      </c>
    </row>
    <row r="50" spans="1:17">
      <c r="A50" t="s">
        <v>42</v>
      </c>
      <c r="B50" s="2">
        <v>34444881000</v>
      </c>
      <c r="C50" s="2">
        <v>41090899000</v>
      </c>
      <c r="D50" s="2">
        <v>39953132000</v>
      </c>
      <c r="E50" s="2">
        <v>37746929000</v>
      </c>
      <c r="F50" s="2">
        <v>40995873000</v>
      </c>
      <c r="G50" s="2">
        <v>50497692000</v>
      </c>
      <c r="H50" s="2">
        <v>65955322000</v>
      </c>
      <c r="I50" s="2">
        <v>63286117000</v>
      </c>
      <c r="J50" s="2">
        <v>57776278000</v>
      </c>
      <c r="K50" s="2">
        <v>52136654000</v>
      </c>
      <c r="L50" s="2">
        <v>44222934000</v>
      </c>
      <c r="M50" s="2">
        <v>28271285000</v>
      </c>
      <c r="N50" s="2">
        <v>22490216000</v>
      </c>
      <c r="O50" s="2">
        <v>6956799000</v>
      </c>
      <c r="P50" s="2">
        <v>1642918000</v>
      </c>
      <c r="Q50" s="9">
        <f t="shared" si="0"/>
        <v>39447981000</v>
      </c>
    </row>
    <row r="51" spans="1:17">
      <c r="A51" t="s">
        <v>43</v>
      </c>
      <c r="B51" s="2">
        <v>0</v>
      </c>
      <c r="C51" s="2">
        <f>13133*1000</f>
        <v>13133000</v>
      </c>
      <c r="D51" s="2">
        <v>0</v>
      </c>
      <c r="E51" s="2">
        <v>0</v>
      </c>
      <c r="F51" s="2">
        <v>0</v>
      </c>
      <c r="G51" s="2">
        <f>102072*1000</f>
        <v>102072000</v>
      </c>
      <c r="H51" s="2">
        <v>0</v>
      </c>
      <c r="I51" s="2">
        <v>0</v>
      </c>
      <c r="J51" s="2">
        <v>0</v>
      </c>
      <c r="K51" s="2">
        <f>13889*1000</f>
        <v>13889000</v>
      </c>
      <c r="L51" s="2">
        <v>0</v>
      </c>
      <c r="M51" s="2">
        <v>0</v>
      </c>
      <c r="N51" s="2">
        <v>117000</v>
      </c>
      <c r="O51" s="2">
        <v>0</v>
      </c>
      <c r="P51" s="2">
        <v>0</v>
      </c>
      <c r="Q51" s="9">
        <f t="shared" si="0"/>
        <v>13133000</v>
      </c>
    </row>
    <row r="52" spans="1:17">
      <c r="A52" s="3" t="s">
        <v>194</v>
      </c>
      <c r="B52" s="2">
        <v>66759022000</v>
      </c>
      <c r="C52" s="2">
        <v>75028335000</v>
      </c>
      <c r="D52" s="2">
        <v>66854649000</v>
      </c>
      <c r="E52" s="2">
        <v>59904733000</v>
      </c>
      <c r="F52" s="2">
        <v>54001409000</v>
      </c>
      <c r="G52" s="2">
        <v>69278939000</v>
      </c>
      <c r="H52" s="2">
        <v>75570136000</v>
      </c>
      <c r="I52" s="2">
        <v>64133998000</v>
      </c>
      <c r="J52" s="2">
        <v>64326629000</v>
      </c>
      <c r="K52" s="2">
        <v>71986730000</v>
      </c>
      <c r="L52" s="2">
        <v>62244793000</v>
      </c>
      <c r="M52" s="2">
        <v>67321345000</v>
      </c>
      <c r="N52" s="2">
        <v>69730796000</v>
      </c>
      <c r="O52" s="2">
        <v>76809307000</v>
      </c>
      <c r="P52" s="2">
        <v>43012900000</v>
      </c>
      <c r="Q52" s="9"/>
    </row>
    <row r="53" spans="1:17">
      <c r="A53" t="s">
        <v>44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150000000</v>
      </c>
      <c r="I53" s="2">
        <v>260000000</v>
      </c>
      <c r="J53" s="2">
        <v>0</v>
      </c>
      <c r="K53" s="2">
        <v>250000000</v>
      </c>
      <c r="L53" s="2">
        <v>100000000</v>
      </c>
      <c r="M53" s="2">
        <v>0</v>
      </c>
      <c r="N53" s="2">
        <v>0</v>
      </c>
      <c r="O53" s="2">
        <v>0</v>
      </c>
      <c r="P53" s="2">
        <v>0</v>
      </c>
      <c r="Q53" s="9">
        <f t="shared" si="0"/>
        <v>0</v>
      </c>
    </row>
    <row r="54" spans="1:17">
      <c r="A54" t="s">
        <v>45</v>
      </c>
      <c r="B54" s="2">
        <v>66759022000</v>
      </c>
      <c r="C54" s="2">
        <v>75028335000</v>
      </c>
      <c r="D54" s="2">
        <v>66854649000</v>
      </c>
      <c r="E54" s="2">
        <v>59904733000</v>
      </c>
      <c r="F54" s="2">
        <v>54001409000</v>
      </c>
      <c r="G54" s="2">
        <v>69278939000</v>
      </c>
      <c r="H54" s="2">
        <v>75420136000</v>
      </c>
      <c r="I54" s="2">
        <v>63873998000</v>
      </c>
      <c r="J54" s="2">
        <v>64326629000</v>
      </c>
      <c r="K54" s="2">
        <v>71736730000</v>
      </c>
      <c r="L54" s="2">
        <v>62144793000</v>
      </c>
      <c r="M54" s="2">
        <v>67321345000</v>
      </c>
      <c r="N54" s="2">
        <v>69730796000</v>
      </c>
      <c r="O54" s="2">
        <v>76809307000</v>
      </c>
      <c r="P54" s="2">
        <v>43012900000</v>
      </c>
      <c r="Q54" s="9">
        <f t="shared" si="0"/>
        <v>32015435000</v>
      </c>
    </row>
    <row r="55" spans="1:17">
      <c r="A55" t="s">
        <v>195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103398000</v>
      </c>
      <c r="N55" s="2">
        <v>57971000</v>
      </c>
      <c r="O55" s="2">
        <v>106272000</v>
      </c>
      <c r="P55" s="2">
        <v>184083000</v>
      </c>
      <c r="Q55" s="9">
        <f t="shared" si="0"/>
        <v>-184083000</v>
      </c>
    </row>
    <row r="56" spans="1:17">
      <c r="A56" t="s">
        <v>196</v>
      </c>
      <c r="B56" s="2">
        <v>0</v>
      </c>
      <c r="C56" s="2">
        <f>190316*1000</f>
        <v>190316000</v>
      </c>
      <c r="D56" s="2">
        <v>0</v>
      </c>
      <c r="E56" s="2">
        <v>0</v>
      </c>
      <c r="F56" s="2">
        <v>0</v>
      </c>
      <c r="G56" s="2">
        <f>176680*1000</f>
        <v>176680000</v>
      </c>
      <c r="H56" s="2">
        <v>0</v>
      </c>
      <c r="I56" s="2">
        <v>0</v>
      </c>
      <c r="J56" s="2">
        <v>0</v>
      </c>
      <c r="K56" s="2">
        <f>112436*1000</f>
        <v>112436000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9">
        <f t="shared" si="0"/>
        <v>190316000</v>
      </c>
    </row>
    <row r="57" spans="1:17">
      <c r="A57" t="s">
        <v>46</v>
      </c>
      <c r="B57" s="2">
        <v>2668466000</v>
      </c>
      <c r="C57" s="2">
        <v>4324071000</v>
      </c>
      <c r="D57" s="2">
        <v>3754793000</v>
      </c>
      <c r="E57" s="2">
        <v>3078247000</v>
      </c>
      <c r="F57" s="2">
        <v>2993089000</v>
      </c>
      <c r="G57" s="2">
        <v>4954450000</v>
      </c>
      <c r="H57" s="2">
        <v>5918704000</v>
      </c>
      <c r="I57" s="2">
        <v>4235176000</v>
      </c>
      <c r="J57" s="2">
        <v>3869297000</v>
      </c>
      <c r="K57" s="2">
        <v>4889968000</v>
      </c>
      <c r="L57" s="2">
        <v>5106573000</v>
      </c>
      <c r="M57" s="2">
        <v>4973173000</v>
      </c>
      <c r="N57" s="2">
        <v>4382173000</v>
      </c>
      <c r="O57" s="2">
        <v>3011604000</v>
      </c>
      <c r="P57" s="2">
        <v>3515886000</v>
      </c>
      <c r="Q57" s="9">
        <f t="shared" si="0"/>
        <v>808185000</v>
      </c>
    </row>
    <row r="58" spans="1:17">
      <c r="A58" t="s">
        <v>47</v>
      </c>
      <c r="B58" s="2">
        <v>1813592000</v>
      </c>
      <c r="C58" s="2">
        <v>1662690000</v>
      </c>
      <c r="D58" s="2">
        <v>1675503000</v>
      </c>
      <c r="E58" s="2">
        <v>1036385000</v>
      </c>
      <c r="F58" s="2">
        <v>1232218000</v>
      </c>
      <c r="G58" s="2">
        <v>1237028000</v>
      </c>
      <c r="H58" s="2">
        <v>1363534000</v>
      </c>
      <c r="I58" s="2">
        <v>1024847000</v>
      </c>
      <c r="J58" s="2">
        <v>1342416000</v>
      </c>
      <c r="K58" s="2">
        <v>1865047000</v>
      </c>
      <c r="L58" s="2">
        <v>1967584000</v>
      </c>
      <c r="M58" s="2">
        <v>2322273000</v>
      </c>
      <c r="N58" s="2">
        <v>3079926000</v>
      </c>
      <c r="O58" s="2">
        <v>1298927000</v>
      </c>
      <c r="P58" s="2">
        <v>767639000</v>
      </c>
      <c r="Q58" s="9">
        <f t="shared" si="0"/>
        <v>895051000</v>
      </c>
    </row>
    <row r="59" spans="1:17">
      <c r="A59" s="3" t="s">
        <v>197</v>
      </c>
      <c r="B59" s="2">
        <v>13672575000</v>
      </c>
      <c r="C59" s="2">
        <v>14184970000</v>
      </c>
      <c r="D59" s="2">
        <v>11398996000</v>
      </c>
      <c r="E59" s="2">
        <v>23738869000</v>
      </c>
      <c r="F59" s="2">
        <v>13719284000</v>
      </c>
      <c r="G59" s="2">
        <v>16901025000</v>
      </c>
      <c r="H59" s="2">
        <v>14373852000</v>
      </c>
      <c r="I59" s="2">
        <v>23277213000</v>
      </c>
      <c r="J59" s="2">
        <v>9894717000</v>
      </c>
      <c r="K59" s="2">
        <v>8808538000</v>
      </c>
      <c r="L59" s="2">
        <v>6372910000</v>
      </c>
      <c r="M59" s="2">
        <v>12595820000</v>
      </c>
      <c r="N59" s="2">
        <v>27897455000</v>
      </c>
      <c r="O59" s="2">
        <v>32103714000</v>
      </c>
      <c r="P59" s="2">
        <v>8664545000</v>
      </c>
      <c r="Q59" s="9"/>
    </row>
    <row r="60" spans="1:17">
      <c r="A60" t="s">
        <v>48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16755000</v>
      </c>
      <c r="N60" s="2">
        <v>177411000</v>
      </c>
      <c r="O60" s="2">
        <v>0</v>
      </c>
      <c r="P60" s="2">
        <v>0</v>
      </c>
      <c r="Q60" s="9">
        <f t="shared" si="0"/>
        <v>0</v>
      </c>
    </row>
    <row r="61" spans="1:17">
      <c r="A61" t="s">
        <v>49</v>
      </c>
      <c r="B61" s="2">
        <v>126778000</v>
      </c>
      <c r="C61" s="2">
        <v>131036000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9890945000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9">
        <f t="shared" si="0"/>
        <v>131036000</v>
      </c>
    </row>
    <row r="62" spans="1:17">
      <c r="A62" t="s">
        <v>50</v>
      </c>
      <c r="B62" s="2">
        <v>0</v>
      </c>
      <c r="C62" s="2">
        <f>C59-C61</f>
        <v>14053934000</v>
      </c>
      <c r="D62" s="2">
        <v>0</v>
      </c>
      <c r="E62" s="2">
        <v>23738869000</v>
      </c>
      <c r="F62" s="2">
        <v>0</v>
      </c>
      <c r="G62" s="2">
        <v>16901025000</v>
      </c>
      <c r="H62" s="2">
        <v>0</v>
      </c>
      <c r="I62" s="2">
        <v>13386268000</v>
      </c>
      <c r="J62" s="2">
        <v>0</v>
      </c>
      <c r="K62" s="2">
        <v>8808538000</v>
      </c>
      <c r="L62" s="2">
        <v>6372910000</v>
      </c>
      <c r="M62" s="2">
        <v>12579065000</v>
      </c>
      <c r="N62" s="2">
        <v>27720044000</v>
      </c>
      <c r="O62" s="2">
        <v>32103714000</v>
      </c>
      <c r="P62" s="2">
        <v>8664545000</v>
      </c>
      <c r="Q62" s="9">
        <f>C62-P62</f>
        <v>5389389000</v>
      </c>
    </row>
    <row r="63" spans="1:17">
      <c r="A63" t="s">
        <v>51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9">
        <f t="shared" si="0"/>
        <v>0</v>
      </c>
    </row>
    <row r="64" spans="1:17">
      <c r="A64" t="s">
        <v>52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9">
        <f t="shared" si="0"/>
        <v>0</v>
      </c>
    </row>
    <row r="65" spans="1:19">
      <c r="A65" t="s">
        <v>53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9">
        <f t="shared" si="0"/>
        <v>0</v>
      </c>
    </row>
    <row r="66" spans="1:19">
      <c r="A66" t="s">
        <v>54</v>
      </c>
      <c r="B66" s="2">
        <v>4289545000</v>
      </c>
      <c r="C66" s="2">
        <v>668738000</v>
      </c>
      <c r="D66" s="2">
        <v>5199742000</v>
      </c>
      <c r="E66" s="2">
        <v>5315194000</v>
      </c>
      <c r="F66" s="2">
        <v>5155127000</v>
      </c>
      <c r="G66" s="2">
        <v>5266945000</v>
      </c>
      <c r="H66" s="2">
        <v>798352000</v>
      </c>
      <c r="I66" s="2">
        <v>1064649000</v>
      </c>
      <c r="J66" s="2">
        <v>917524000</v>
      </c>
      <c r="K66" s="2">
        <v>1052072000</v>
      </c>
      <c r="L66" s="2">
        <v>327000</v>
      </c>
      <c r="M66" s="2">
        <v>0</v>
      </c>
      <c r="N66" s="2">
        <v>0</v>
      </c>
      <c r="O66" s="2">
        <v>0</v>
      </c>
      <c r="P66" s="2">
        <v>0</v>
      </c>
      <c r="Q66" s="9">
        <f t="shared" si="0"/>
        <v>668738000</v>
      </c>
    </row>
    <row r="67" spans="1:19">
      <c r="A67" t="s">
        <v>55</v>
      </c>
      <c r="B67" s="2">
        <v>772300000</v>
      </c>
      <c r="C67" s="2">
        <v>881372000</v>
      </c>
      <c r="D67" s="2">
        <v>831009000</v>
      </c>
      <c r="E67" s="2">
        <v>926576000</v>
      </c>
      <c r="F67" s="2">
        <v>737844000</v>
      </c>
      <c r="G67" s="2">
        <v>760750000</v>
      </c>
      <c r="H67" s="2">
        <v>576155000</v>
      </c>
      <c r="I67" s="2">
        <v>619162000</v>
      </c>
      <c r="J67" s="2">
        <v>613103000</v>
      </c>
      <c r="K67" s="2">
        <v>463197000</v>
      </c>
      <c r="L67" s="2">
        <v>512496000</v>
      </c>
      <c r="M67" s="2">
        <v>385314000</v>
      </c>
      <c r="N67" s="2">
        <v>347193000</v>
      </c>
      <c r="O67" s="2">
        <v>95086000</v>
      </c>
      <c r="P67" s="2">
        <v>208205000</v>
      </c>
      <c r="Q67" s="9">
        <f t="shared" si="0"/>
        <v>673167000</v>
      </c>
    </row>
    <row r="68" spans="1:19">
      <c r="A68" t="s">
        <v>56</v>
      </c>
      <c r="B68" s="2">
        <v>124849910000</v>
      </c>
      <c r="C68" s="2">
        <v>138044524000</v>
      </c>
      <c r="D68" s="2">
        <v>129849297000</v>
      </c>
      <c r="E68" s="2">
        <v>132008796000</v>
      </c>
      <c r="F68" s="2">
        <v>119054347000</v>
      </c>
      <c r="G68" s="2">
        <v>149175581000</v>
      </c>
      <c r="H68" s="2">
        <v>165436734000</v>
      </c>
      <c r="I68" s="2">
        <v>157972904000</v>
      </c>
      <c r="J68" s="2">
        <v>138872630000</v>
      </c>
      <c r="K68" s="2">
        <v>141328531000</v>
      </c>
      <c r="L68" s="2">
        <v>120525212000</v>
      </c>
      <c r="M68" s="2">
        <v>115972608000</v>
      </c>
      <c r="N68" s="2">
        <v>127985847000</v>
      </c>
      <c r="O68" s="2">
        <v>120381709000</v>
      </c>
      <c r="P68" s="2">
        <v>57996176000</v>
      </c>
      <c r="Q68" s="9">
        <f>C68-P68</f>
        <v>80048348000</v>
      </c>
      <c r="R68" s="9">
        <f>SUM(Q50:Q67)</f>
        <v>80048348000</v>
      </c>
      <c r="S68" s="9">
        <f>Q68-R68</f>
        <v>0</v>
      </c>
    </row>
    <row r="69" spans="1:19">
      <c r="A69" t="s">
        <v>57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9">
        <f t="shared" ref="Q69:Q95" si="1">C69-P69</f>
        <v>0</v>
      </c>
    </row>
    <row r="70" spans="1:19">
      <c r="A70" t="s">
        <v>58</v>
      </c>
      <c r="B70" s="2">
        <v>3628177000</v>
      </c>
      <c r="C70" s="2">
        <v>7096943000</v>
      </c>
      <c r="D70" s="2">
        <v>7309835000</v>
      </c>
      <c r="E70" s="2">
        <v>7272758000</v>
      </c>
      <c r="F70" s="2">
        <v>4036392000</v>
      </c>
      <c r="G70" s="2">
        <v>3484507000</v>
      </c>
      <c r="H70" s="2">
        <v>7807071000</v>
      </c>
      <c r="I70" s="2">
        <v>7362632000</v>
      </c>
      <c r="J70" s="2">
        <v>3812059000</v>
      </c>
      <c r="K70" s="2">
        <v>3814347000</v>
      </c>
      <c r="L70" s="2">
        <v>225000</v>
      </c>
      <c r="M70" s="2">
        <v>0</v>
      </c>
      <c r="N70" s="2">
        <v>0</v>
      </c>
      <c r="O70" s="2">
        <v>0</v>
      </c>
      <c r="P70" s="2">
        <v>0</v>
      </c>
      <c r="Q70" s="9">
        <f t="shared" si="1"/>
        <v>7096943000</v>
      </c>
    </row>
    <row r="71" spans="1:19">
      <c r="A71" t="s">
        <v>59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9">
        <f t="shared" si="1"/>
        <v>0</v>
      </c>
    </row>
    <row r="72" spans="1:19">
      <c r="A72" s="4" t="s">
        <v>60</v>
      </c>
      <c r="B72" s="2">
        <v>1212603000</v>
      </c>
      <c r="C72" s="2">
        <v>1010287000</v>
      </c>
      <c r="D72" s="2">
        <v>861126000</v>
      </c>
      <c r="E72" s="2">
        <v>834351000</v>
      </c>
      <c r="F72" s="2">
        <v>1010429000</v>
      </c>
      <c r="G72" s="2">
        <v>1069223000</v>
      </c>
      <c r="H72" s="2">
        <v>1247164000</v>
      </c>
      <c r="I72" s="2">
        <v>1011810000</v>
      </c>
      <c r="J72" s="2">
        <v>1132790000</v>
      </c>
      <c r="K72" s="2">
        <v>1187146000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9">
        <f t="shared" si="1"/>
        <v>1010287000</v>
      </c>
    </row>
    <row r="73" spans="1:19">
      <c r="A73" t="s">
        <v>61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9">
        <f t="shared" si="1"/>
        <v>0</v>
      </c>
    </row>
    <row r="74" spans="1:19">
      <c r="A74" s="3" t="s">
        <v>198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9"/>
    </row>
    <row r="75" spans="1:19">
      <c r="A75" t="s">
        <v>62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9">
        <f t="shared" si="1"/>
        <v>0</v>
      </c>
    </row>
    <row r="76" spans="1:19">
      <c r="A76" t="s">
        <v>63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9">
        <f t="shared" si="1"/>
        <v>0</v>
      </c>
    </row>
    <row r="77" spans="1:19">
      <c r="A77" t="s">
        <v>64</v>
      </c>
      <c r="B77" s="2">
        <v>670272000</v>
      </c>
      <c r="C77" s="2">
        <v>473487000</v>
      </c>
      <c r="D77" s="2">
        <v>673073000</v>
      </c>
      <c r="E77" s="2">
        <v>687883000</v>
      </c>
      <c r="F77" s="2">
        <v>492948000</v>
      </c>
      <c r="G77" s="2">
        <v>498020000</v>
      </c>
      <c r="H77" s="2">
        <v>496540000</v>
      </c>
      <c r="I77" s="2">
        <v>453980000</v>
      </c>
      <c r="J77" s="2">
        <v>490456000</v>
      </c>
      <c r="K77" s="2">
        <v>437165000</v>
      </c>
      <c r="L77" s="2">
        <v>535305000</v>
      </c>
      <c r="M77" s="2">
        <v>189498000</v>
      </c>
      <c r="N77" s="2">
        <v>174549000</v>
      </c>
      <c r="O77" s="2">
        <v>24599000</v>
      </c>
      <c r="P77" s="2">
        <v>217457000</v>
      </c>
      <c r="Q77" s="9">
        <f t="shared" si="1"/>
        <v>256030000</v>
      </c>
    </row>
    <row r="78" spans="1:19">
      <c r="A78" t="s">
        <v>65</v>
      </c>
      <c r="B78" s="2">
        <v>157120000</v>
      </c>
      <c r="C78" s="2">
        <v>204607000</v>
      </c>
      <c r="D78" s="2">
        <v>98172000</v>
      </c>
      <c r="E78" s="2">
        <v>77944000</v>
      </c>
      <c r="F78" s="2">
        <v>162750000</v>
      </c>
      <c r="G78" s="2">
        <v>270147000</v>
      </c>
      <c r="H78" s="2">
        <v>70781000</v>
      </c>
      <c r="I78" s="2">
        <v>29708000</v>
      </c>
      <c r="J78" s="2">
        <v>114319000</v>
      </c>
      <c r="K78" s="2">
        <v>50193000</v>
      </c>
      <c r="L78" s="2">
        <v>139197000</v>
      </c>
      <c r="M78" s="2">
        <v>83344000</v>
      </c>
      <c r="N78" s="2">
        <v>91305000</v>
      </c>
      <c r="O78" s="2">
        <v>0</v>
      </c>
      <c r="P78" s="2">
        <v>1539000</v>
      </c>
      <c r="Q78" s="9">
        <f t="shared" si="1"/>
        <v>203068000</v>
      </c>
    </row>
    <row r="79" spans="1:19">
      <c r="A79" t="s">
        <v>66</v>
      </c>
      <c r="B79" s="2">
        <v>341001000</v>
      </c>
      <c r="C79" s="2">
        <v>280118000</v>
      </c>
      <c r="D79" s="2">
        <v>303529000</v>
      </c>
      <c r="E79" s="2">
        <v>345257000</v>
      </c>
      <c r="F79" s="2">
        <v>331599000</v>
      </c>
      <c r="G79" s="2">
        <v>356678000</v>
      </c>
      <c r="H79" s="2">
        <v>291599000</v>
      </c>
      <c r="I79" s="2">
        <v>304712000</v>
      </c>
      <c r="J79" s="2">
        <v>306728000</v>
      </c>
      <c r="K79" s="2">
        <v>303703000</v>
      </c>
      <c r="L79" s="2">
        <v>273307000</v>
      </c>
      <c r="M79" s="2">
        <v>18804000</v>
      </c>
      <c r="N79" s="2">
        <v>6983000</v>
      </c>
      <c r="O79" s="2">
        <v>7345000</v>
      </c>
      <c r="P79" s="2">
        <v>5849000</v>
      </c>
      <c r="Q79" s="9">
        <f t="shared" si="1"/>
        <v>274269000</v>
      </c>
    </row>
    <row r="80" spans="1:19">
      <c r="A80" t="s">
        <v>67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9">
        <f t="shared" si="1"/>
        <v>0</v>
      </c>
    </row>
    <row r="81" spans="1:19">
      <c r="A81" t="s">
        <v>68</v>
      </c>
      <c r="B81" s="2">
        <v>6009173000</v>
      </c>
      <c r="C81" s="2">
        <v>9065442000</v>
      </c>
      <c r="D81" s="2">
        <v>9245735000</v>
      </c>
      <c r="E81" s="2">
        <v>9218193000</v>
      </c>
      <c r="F81" s="2">
        <v>6034118000</v>
      </c>
      <c r="G81" s="2">
        <v>5678575000</v>
      </c>
      <c r="H81" s="2">
        <v>9913155000</v>
      </c>
      <c r="I81" s="2">
        <v>9162842000</v>
      </c>
      <c r="J81" s="2">
        <v>5856352000</v>
      </c>
      <c r="K81" s="2">
        <v>5792554000</v>
      </c>
      <c r="L81" s="2">
        <v>948034000</v>
      </c>
      <c r="M81" s="2">
        <v>291646000</v>
      </c>
      <c r="N81" s="2">
        <v>272837000</v>
      </c>
      <c r="O81" s="2">
        <v>31944000</v>
      </c>
      <c r="P81" s="2">
        <v>224845000</v>
      </c>
      <c r="Q81" s="9">
        <f t="shared" si="1"/>
        <v>8840597000</v>
      </c>
      <c r="R81" s="9">
        <f>SUM(Q70:Q80)</f>
        <v>8840597000</v>
      </c>
      <c r="S81" s="9">
        <f>Q81-R81</f>
        <v>0</v>
      </c>
    </row>
    <row r="82" spans="1:19">
      <c r="A82" t="s">
        <v>69</v>
      </c>
      <c r="B82" s="2">
        <v>130859083000</v>
      </c>
      <c r="C82" s="2">
        <v>147109966000</v>
      </c>
      <c r="D82" s="2">
        <v>139095032000</v>
      </c>
      <c r="E82" s="2">
        <v>141226989000</v>
      </c>
      <c r="F82" s="2">
        <v>125088465000</v>
      </c>
      <c r="G82" s="2">
        <v>154854156000</v>
      </c>
      <c r="H82" s="2">
        <v>175349889000</v>
      </c>
      <c r="I82" s="2">
        <v>167135746000</v>
      </c>
      <c r="J82" s="2">
        <v>144728982000</v>
      </c>
      <c r="K82" s="2">
        <v>147121085000</v>
      </c>
      <c r="L82" s="2">
        <v>121473246000</v>
      </c>
      <c r="M82" s="2">
        <v>116264254000</v>
      </c>
      <c r="N82" s="2">
        <v>128258684000</v>
      </c>
      <c r="O82" s="2">
        <v>120413653000</v>
      </c>
      <c r="P82" s="2">
        <v>58221021000</v>
      </c>
      <c r="Q82" s="9">
        <f t="shared" si="1"/>
        <v>88888945000</v>
      </c>
    </row>
    <row r="83" spans="1:19">
      <c r="A83" t="s">
        <v>70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9">
        <f t="shared" si="1"/>
        <v>0</v>
      </c>
    </row>
    <row r="84" spans="1:19">
      <c r="A84" t="s">
        <v>71</v>
      </c>
      <c r="B84" s="2">
        <v>19864027000</v>
      </c>
      <c r="C84" s="2">
        <v>19866106000</v>
      </c>
      <c r="D84" s="2">
        <v>19865842000</v>
      </c>
      <c r="E84" s="2">
        <v>19866455000</v>
      </c>
      <c r="F84" s="2">
        <v>19862894000</v>
      </c>
      <c r="G84" s="2">
        <v>19859593000</v>
      </c>
      <c r="H84" s="2">
        <v>19861035000</v>
      </c>
      <c r="I84" s="2">
        <v>19865104000</v>
      </c>
      <c r="J84" s="2">
        <v>19865104000</v>
      </c>
      <c r="K84" s="2">
        <v>19865070000</v>
      </c>
      <c r="L84" s="2">
        <v>19870646000</v>
      </c>
      <c r="M84" s="2">
        <v>19854832000</v>
      </c>
      <c r="N84" s="2">
        <v>19695300000</v>
      </c>
      <c r="O84" s="2">
        <v>17725770000</v>
      </c>
      <c r="P84" s="2">
        <v>0</v>
      </c>
      <c r="Q84" s="9">
        <f t="shared" si="1"/>
        <v>19866106000</v>
      </c>
    </row>
    <row r="85" spans="1:19">
      <c r="A85" t="s">
        <v>72</v>
      </c>
      <c r="B85" s="2">
        <v>29280830000</v>
      </c>
      <c r="C85" s="2">
        <v>29142633000</v>
      </c>
      <c r="D85" s="2">
        <v>28982966000</v>
      </c>
      <c r="E85" s="2">
        <v>28832946000</v>
      </c>
      <c r="F85" s="2">
        <v>28544667000</v>
      </c>
      <c r="G85" s="2">
        <v>28491199000</v>
      </c>
      <c r="H85" s="2">
        <v>28463097000</v>
      </c>
      <c r="I85" s="2">
        <v>28425306000</v>
      </c>
      <c r="J85" s="2">
        <v>28367798000</v>
      </c>
      <c r="K85" s="2">
        <v>28297428000</v>
      </c>
      <c r="L85" s="2">
        <v>27758040000</v>
      </c>
      <c r="M85" s="2">
        <v>26692249000</v>
      </c>
      <c r="N85" s="2">
        <v>25121959000</v>
      </c>
      <c r="O85" s="2">
        <v>0</v>
      </c>
      <c r="P85" s="2">
        <v>27823232000</v>
      </c>
      <c r="Q85" s="9">
        <f t="shared" si="1"/>
        <v>1319401000</v>
      </c>
    </row>
    <row r="86" spans="1:19">
      <c r="A86" t="s">
        <v>73</v>
      </c>
      <c r="B86" s="2">
        <v>2000821000</v>
      </c>
      <c r="C86" s="2">
        <v>2013975000</v>
      </c>
      <c r="D86" s="2">
        <v>2029784000</v>
      </c>
      <c r="E86" s="2">
        <v>2043374000</v>
      </c>
      <c r="F86" s="2">
        <v>2207903000</v>
      </c>
      <c r="G86" s="2">
        <v>2207903000</v>
      </c>
      <c r="H86" s="2">
        <v>1655471000</v>
      </c>
      <c r="I86" s="2">
        <v>1238364000</v>
      </c>
      <c r="J86" s="2">
        <v>910965000</v>
      </c>
      <c r="K86" s="2">
        <v>518907000</v>
      </c>
      <c r="L86" s="2">
        <v>808531000</v>
      </c>
      <c r="M86" s="2">
        <v>942148000</v>
      </c>
      <c r="N86" s="2">
        <v>0</v>
      </c>
      <c r="O86" s="2">
        <v>0</v>
      </c>
      <c r="P86" s="2">
        <v>0</v>
      </c>
      <c r="Q86" s="9">
        <f t="shared" si="1"/>
        <v>2013975000</v>
      </c>
    </row>
    <row r="87" spans="1:19">
      <c r="A87" t="s">
        <v>74</v>
      </c>
      <c r="B87" s="2">
        <v>2244484000</v>
      </c>
      <c r="C87" s="2">
        <v>1325689000</v>
      </c>
      <c r="D87" s="2">
        <v>1683799000</v>
      </c>
      <c r="E87" s="2">
        <v>1877746000</v>
      </c>
      <c r="F87" s="2">
        <v>1097961000</v>
      </c>
      <c r="G87" s="2">
        <v>1088790000</v>
      </c>
      <c r="H87" s="2">
        <v>637803000</v>
      </c>
      <c r="I87" s="2">
        <v>439063000</v>
      </c>
      <c r="J87" s="2">
        <v>430794000</v>
      </c>
      <c r="K87" s="2">
        <v>-17550000</v>
      </c>
      <c r="L87" s="2">
        <v>424914000</v>
      </c>
      <c r="M87" s="2">
        <v>628744000</v>
      </c>
      <c r="N87" s="2">
        <v>477370000</v>
      </c>
      <c r="O87" s="2">
        <v>337591000</v>
      </c>
      <c r="P87" s="2">
        <v>2822754000</v>
      </c>
      <c r="Q87" s="9">
        <f t="shared" si="1"/>
        <v>-1497065000</v>
      </c>
    </row>
    <row r="88" spans="1:19">
      <c r="A88" t="s">
        <v>75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9">
        <f t="shared" si="1"/>
        <v>0</v>
      </c>
    </row>
    <row r="89" spans="1:19">
      <c r="A89" t="s">
        <v>76</v>
      </c>
      <c r="B89" s="2">
        <v>5151191000</v>
      </c>
      <c r="C89" s="2">
        <v>5151191000</v>
      </c>
      <c r="D89" s="2">
        <v>3809459000</v>
      </c>
      <c r="E89" s="2">
        <v>3809459000</v>
      </c>
      <c r="F89" s="2">
        <v>3809459000</v>
      </c>
      <c r="G89" s="2">
        <v>3809459000</v>
      </c>
      <c r="H89" s="2">
        <v>2771638000</v>
      </c>
      <c r="I89" s="2">
        <v>2771638000</v>
      </c>
      <c r="J89" s="2">
        <v>2771638000</v>
      </c>
      <c r="K89" s="2">
        <v>2771638000</v>
      </c>
      <c r="L89" s="2">
        <v>1437435000</v>
      </c>
      <c r="M89" s="2">
        <v>740214000</v>
      </c>
      <c r="N89" s="2">
        <v>289183000</v>
      </c>
      <c r="O89" s="2">
        <v>0</v>
      </c>
      <c r="P89" s="2">
        <v>0</v>
      </c>
      <c r="Q89" s="9">
        <f t="shared" si="1"/>
        <v>5151191000</v>
      </c>
    </row>
    <row r="90" spans="1:19">
      <c r="A90" t="s">
        <v>77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9">
        <f t="shared" si="1"/>
        <v>0</v>
      </c>
    </row>
    <row r="91" spans="1:19">
      <c r="A91" t="s">
        <v>78</v>
      </c>
      <c r="B91" s="2">
        <v>90900693000</v>
      </c>
      <c r="C91" s="2">
        <v>86715809000</v>
      </c>
      <c r="D91" s="2">
        <v>80501094000</v>
      </c>
      <c r="E91" s="2">
        <v>74177410000</v>
      </c>
      <c r="F91" s="2">
        <v>81062424000</v>
      </c>
      <c r="G91" s="2">
        <v>77934054000</v>
      </c>
      <c r="H91" s="2">
        <v>70694338000</v>
      </c>
      <c r="I91" s="2">
        <v>65770065000</v>
      </c>
      <c r="J91" s="2">
        <v>72038710000</v>
      </c>
      <c r="K91" s="2">
        <v>68782923000</v>
      </c>
      <c r="L91" s="2">
        <v>55070045000</v>
      </c>
      <c r="M91" s="2">
        <v>42306789000</v>
      </c>
      <c r="N91" s="2">
        <v>26710822000</v>
      </c>
      <c r="O91" s="2">
        <v>10097698000</v>
      </c>
      <c r="P91" s="2">
        <v>46657098000</v>
      </c>
      <c r="Q91" s="9">
        <f t="shared" si="1"/>
        <v>40058711000</v>
      </c>
    </row>
    <row r="92" spans="1:19">
      <c r="A92" s="4" t="s">
        <v>79</v>
      </c>
      <c r="B92" s="2">
        <v>145440404000</v>
      </c>
      <c r="C92" s="2">
        <v>140187453000</v>
      </c>
      <c r="D92" s="2">
        <v>132813376000</v>
      </c>
      <c r="E92" s="2">
        <v>126520642000</v>
      </c>
      <c r="F92" s="2">
        <v>132169502000</v>
      </c>
      <c r="G92" s="2">
        <v>128975192000</v>
      </c>
      <c r="H92" s="2">
        <v>120772440000</v>
      </c>
      <c r="I92" s="2">
        <v>116032812000</v>
      </c>
      <c r="J92" s="2">
        <v>122563079000</v>
      </c>
      <c r="K92" s="2">
        <v>119180602000</v>
      </c>
      <c r="L92" s="2">
        <v>103752549000</v>
      </c>
      <c r="M92" s="2">
        <v>89280680000</v>
      </c>
      <c r="N92" s="2">
        <v>72294634000</v>
      </c>
      <c r="O92" s="2">
        <v>28161059000</v>
      </c>
      <c r="P92" s="2">
        <v>77303084000</v>
      </c>
      <c r="Q92" s="9">
        <f t="shared" si="1"/>
        <v>62884369000</v>
      </c>
      <c r="R92" s="9">
        <f>SUM(Q84:Q85,Q87:Q91)-Q86</f>
        <v>62884369000</v>
      </c>
      <c r="S92" s="9">
        <f>Q92-R92</f>
        <v>0</v>
      </c>
    </row>
    <row r="93" spans="1:19">
      <c r="A93" t="s">
        <v>80</v>
      </c>
      <c r="B93" s="2">
        <v>413855000</v>
      </c>
      <c r="C93" s="2">
        <v>407882000</v>
      </c>
      <c r="D93" s="2">
        <v>436590000</v>
      </c>
      <c r="E93" s="2">
        <v>404631000</v>
      </c>
      <c r="F93" s="2">
        <v>354038000</v>
      </c>
      <c r="G93" s="2">
        <v>358314000</v>
      </c>
      <c r="H93" s="2">
        <v>358302000</v>
      </c>
      <c r="I93" s="2">
        <v>356616000</v>
      </c>
      <c r="J93" s="2">
        <v>335536000</v>
      </c>
      <c r="K93" s="2">
        <v>307088000</v>
      </c>
      <c r="L93" s="2">
        <v>288149000</v>
      </c>
      <c r="M93" s="2">
        <v>68011000</v>
      </c>
      <c r="N93" s="2">
        <v>50006000</v>
      </c>
      <c r="O93" s="2">
        <v>21529000</v>
      </c>
      <c r="P93" s="2">
        <v>219554000</v>
      </c>
      <c r="Q93" s="9">
        <f t="shared" si="1"/>
        <v>188328000</v>
      </c>
    </row>
    <row r="94" spans="1:19">
      <c r="A94" t="s">
        <v>81</v>
      </c>
      <c r="B94" s="2">
        <v>145854259000</v>
      </c>
      <c r="C94" s="2">
        <v>140595335000</v>
      </c>
      <c r="D94" s="2">
        <v>133249966000</v>
      </c>
      <c r="E94" s="2">
        <v>126925273000</v>
      </c>
      <c r="F94" s="2">
        <v>132523540000</v>
      </c>
      <c r="G94" s="2">
        <v>129333506000</v>
      </c>
      <c r="H94" s="2">
        <v>121130742000</v>
      </c>
      <c r="I94" s="2">
        <v>116389428000</v>
      </c>
      <c r="J94" s="2">
        <v>122898615000</v>
      </c>
      <c r="K94" s="2">
        <v>119487690000</v>
      </c>
      <c r="L94" s="2">
        <v>104040698000</v>
      </c>
      <c r="M94" s="2">
        <v>89348691000</v>
      </c>
      <c r="N94" s="2">
        <v>72344640000</v>
      </c>
      <c r="O94" s="2">
        <v>28182588000</v>
      </c>
      <c r="P94" s="2">
        <v>77522638000</v>
      </c>
      <c r="Q94" s="9">
        <f t="shared" si="1"/>
        <v>63072697000</v>
      </c>
    </row>
    <row r="95" spans="1:19">
      <c r="A95" t="s">
        <v>82</v>
      </c>
      <c r="B95" s="2">
        <v>276713342000</v>
      </c>
      <c r="C95" s="2">
        <v>287705301000</v>
      </c>
      <c r="D95" s="2">
        <v>272344998000</v>
      </c>
      <c r="E95" s="2">
        <v>268152262000</v>
      </c>
      <c r="F95" s="2">
        <v>257612005000</v>
      </c>
      <c r="G95" s="2">
        <v>284187662000</v>
      </c>
      <c r="H95" s="2">
        <v>296480631000</v>
      </c>
      <c r="I95" s="2">
        <v>283525174000</v>
      </c>
      <c r="J95" s="2">
        <v>267627597000</v>
      </c>
      <c r="K95" s="2">
        <v>266608775000</v>
      </c>
      <c r="L95" s="2">
        <v>225513944000</v>
      </c>
      <c r="M95" s="2">
        <v>205612945000</v>
      </c>
      <c r="N95" s="2">
        <v>200603324000</v>
      </c>
      <c r="O95" s="2">
        <v>148596241000</v>
      </c>
      <c r="P95" s="2">
        <v>135743659000</v>
      </c>
      <c r="Q95" s="9">
        <f t="shared" si="1"/>
        <v>151961642000</v>
      </c>
    </row>
    <row r="97" spans="1:16">
      <c r="A97" s="5" t="s">
        <v>199</v>
      </c>
      <c r="B97" s="19">
        <f>(B82-B79)/B95</f>
        <v>0.4716725296173106</v>
      </c>
      <c r="C97" s="19">
        <f t="shared" ref="C97:P97" si="2">(C82-C79)/C95</f>
        <v>0.5103480801001995</v>
      </c>
      <c r="D97" s="19">
        <f t="shared" si="2"/>
        <v>0.50961649385607588</v>
      </c>
      <c r="E97" s="19">
        <f t="shared" si="2"/>
        <v>0.52537961436252956</v>
      </c>
      <c r="F97" s="19">
        <f t="shared" si="2"/>
        <v>0.48428203491525951</v>
      </c>
      <c r="G97" s="19">
        <f t="shared" si="2"/>
        <v>0.54364597292052741</v>
      </c>
      <c r="H97" s="19">
        <f t="shared" si="2"/>
        <v>0.59045438958202978</v>
      </c>
      <c r="I97" s="19">
        <f t="shared" si="2"/>
        <v>0.5884170059622289</v>
      </c>
      <c r="J97" s="19">
        <f t="shared" si="2"/>
        <v>0.53963886990324095</v>
      </c>
      <c r="K97" s="19">
        <f t="shared" si="2"/>
        <v>0.55068473271369256</v>
      </c>
      <c r="L97" s="19">
        <f t="shared" si="2"/>
        <v>0.53743878028225167</v>
      </c>
      <c r="M97" s="19">
        <f t="shared" si="2"/>
        <v>0.56536056132068924</v>
      </c>
      <c r="N97" s="19">
        <f t="shared" si="2"/>
        <v>0.63932988966822901</v>
      </c>
      <c r="O97" s="19">
        <f t="shared" si="2"/>
        <v>0.81029174890096989</v>
      </c>
      <c r="P97" s="19">
        <f t="shared" si="2"/>
        <v>0.42886107851269872</v>
      </c>
    </row>
    <row r="98" spans="1:16">
      <c r="A98" s="5" t="s">
        <v>200</v>
      </c>
      <c r="B98" s="19">
        <f>(B31+B34)/B48</f>
        <v>7.4726396821155089E-2</v>
      </c>
      <c r="C98" s="19">
        <f t="shared" ref="C98:I98" si="3">(C31+C34)/C48</f>
        <v>7.0278934485117461E-2</v>
      </c>
      <c r="D98" s="19">
        <f t="shared" si="3"/>
        <v>6.4089464202312985E-2</v>
      </c>
      <c r="E98" s="19">
        <f t="shared" si="3"/>
        <v>6.1119834968984897E-2</v>
      </c>
      <c r="F98" s="19">
        <f t="shared" si="3"/>
        <v>6.4967888433615506E-2</v>
      </c>
      <c r="G98" s="19">
        <f t="shared" si="3"/>
        <v>5.8547267263136853E-2</v>
      </c>
      <c r="H98" s="19">
        <f t="shared" si="3"/>
        <v>4.6550342777704083E-2</v>
      </c>
      <c r="I98" s="19">
        <f t="shared" si="3"/>
        <v>4.1544318036464724E-2</v>
      </c>
      <c r="J98" s="19">
        <f>(J32+J33+J35+J36)/J48</f>
        <v>0</v>
      </c>
      <c r="K98" s="19">
        <f t="shared" ref="K98:P98" si="4">(K32+K33+K35+K36)/K48</f>
        <v>4.0914741084572326E-2</v>
      </c>
      <c r="L98" s="19">
        <f t="shared" si="4"/>
        <v>3.4440686292994814E-2</v>
      </c>
      <c r="M98" s="19">
        <f t="shared" si="4"/>
        <v>3.4483558416032609E-2</v>
      </c>
      <c r="N98" s="19">
        <f t="shared" si="4"/>
        <v>4.0363962264154708E-2</v>
      </c>
      <c r="O98" s="19">
        <f t="shared" si="4"/>
        <v>6.5681661489673887E-2</v>
      </c>
      <c r="P98" s="19">
        <f t="shared" si="4"/>
        <v>8.7701304706984506E-2</v>
      </c>
    </row>
    <row r="99" spans="1:16">
      <c r="A99" s="5" t="s">
        <v>201</v>
      </c>
      <c r="B99" s="19">
        <f t="shared" ref="B99:P99" si="5">B43/B92</f>
        <v>2.1325092028759767E-3</v>
      </c>
      <c r="C99" s="19">
        <f t="shared" si="5"/>
        <v>2.2124162566816877E-3</v>
      </c>
      <c r="D99" s="19">
        <f t="shared" si="5"/>
        <v>2.3352542442713E-3</v>
      </c>
      <c r="E99" s="19">
        <f t="shared" si="5"/>
        <v>2.4514023569371392E-3</v>
      </c>
      <c r="F99" s="19">
        <f t="shared" si="5"/>
        <v>2.3466306167969067E-3</v>
      </c>
      <c r="G99" s="19">
        <f t="shared" si="5"/>
        <v>2.4047492792257288E-3</v>
      </c>
      <c r="H99" s="19">
        <f t="shared" si="5"/>
        <v>2.5680776177081461E-3</v>
      </c>
      <c r="I99" s="19">
        <f t="shared" si="5"/>
        <v>2.6729766749081286E-3</v>
      </c>
      <c r="J99" s="19">
        <f t="shared" si="5"/>
        <v>2.5390925435220179E-3</v>
      </c>
      <c r="K99" s="19">
        <f t="shared" si="5"/>
        <v>0</v>
      </c>
      <c r="L99" s="19">
        <f t="shared" si="5"/>
        <v>0</v>
      </c>
      <c r="M99" s="19">
        <f t="shared" si="5"/>
        <v>0</v>
      </c>
      <c r="N99" s="19">
        <f t="shared" si="5"/>
        <v>0</v>
      </c>
      <c r="O99" s="19">
        <f t="shared" si="5"/>
        <v>0</v>
      </c>
      <c r="P99" s="19">
        <f t="shared" si="5"/>
        <v>0</v>
      </c>
    </row>
    <row r="100" spans="1:16">
      <c r="A100" s="5" t="s">
        <v>202</v>
      </c>
      <c r="B100" s="21">
        <f>B98*B95</f>
        <v>20677791000</v>
      </c>
      <c r="C100" s="21">
        <f t="shared" ref="C100:P100" si="6">C98*C95</f>
        <v>20219622000</v>
      </c>
      <c r="D100" s="21">
        <f t="shared" si="6"/>
        <v>17454445000</v>
      </c>
      <c r="E100" s="21">
        <f t="shared" si="6"/>
        <v>16389422000</v>
      </c>
      <c r="F100" s="21">
        <f t="shared" si="6"/>
        <v>16736508000</v>
      </c>
      <c r="G100" s="21">
        <f t="shared" si="6"/>
        <v>16638411000</v>
      </c>
      <c r="H100" s="21">
        <f t="shared" si="6"/>
        <v>13801275000</v>
      </c>
      <c r="I100" s="21">
        <f t="shared" si="6"/>
        <v>11778860000</v>
      </c>
      <c r="J100" s="21">
        <f t="shared" si="6"/>
        <v>0</v>
      </c>
      <c r="K100" s="21">
        <f t="shared" si="6"/>
        <v>10908229000</v>
      </c>
      <c r="L100" s="21">
        <f t="shared" si="6"/>
        <v>7766855000</v>
      </c>
      <c r="M100" s="21">
        <f t="shared" si="6"/>
        <v>7090266000</v>
      </c>
      <c r="N100" s="21">
        <f t="shared" si="6"/>
        <v>8097145000.000001</v>
      </c>
      <c r="O100" s="21">
        <f t="shared" si="6"/>
        <v>9760048000</v>
      </c>
      <c r="P100" s="21">
        <f t="shared" si="6"/>
        <v>11904896000</v>
      </c>
    </row>
    <row r="101" spans="1:16">
      <c r="A101" s="5" t="s">
        <v>203</v>
      </c>
      <c r="B101" s="9">
        <f>SUM(B32,B33,B35,B36)</f>
        <v>18224552000</v>
      </c>
      <c r="C101" s="9">
        <f t="shared" ref="C101:P101" si="7">SUM(C32,C33,C35,C36)</f>
        <v>20219622000</v>
      </c>
      <c r="D101" s="9">
        <f t="shared" si="7"/>
        <v>0</v>
      </c>
      <c r="E101" s="9">
        <f>SUM(E32,E33,E35,E36)</f>
        <v>16389422000</v>
      </c>
      <c r="F101" s="9">
        <f t="shared" si="7"/>
        <v>0</v>
      </c>
      <c r="G101" s="9">
        <f t="shared" si="7"/>
        <v>16638411000</v>
      </c>
      <c r="H101" s="9">
        <f t="shared" si="7"/>
        <v>0</v>
      </c>
      <c r="I101" s="9">
        <f t="shared" si="7"/>
        <v>11778860000</v>
      </c>
      <c r="J101" s="9">
        <f t="shared" si="7"/>
        <v>0</v>
      </c>
      <c r="K101" s="9">
        <f t="shared" si="7"/>
        <v>10908229000</v>
      </c>
      <c r="L101" s="9">
        <f t="shared" si="7"/>
        <v>7766855000</v>
      </c>
      <c r="M101" s="9">
        <f t="shared" si="7"/>
        <v>7090266000</v>
      </c>
      <c r="N101" s="9">
        <f t="shared" si="7"/>
        <v>8097145000</v>
      </c>
      <c r="O101" s="9">
        <f t="shared" si="7"/>
        <v>9760048000</v>
      </c>
      <c r="P101" s="9">
        <f t="shared" si="7"/>
        <v>11904896000</v>
      </c>
    </row>
    <row r="102" spans="1:16">
      <c r="A102" s="5" t="s">
        <v>204</v>
      </c>
      <c r="B102" s="9">
        <f>SUM(B31,B34)</f>
        <v>20677791000</v>
      </c>
      <c r="C102" s="9">
        <f t="shared" ref="C102:P102" si="8">SUM(C31,C34)</f>
        <v>20219622000</v>
      </c>
      <c r="D102" s="9">
        <f t="shared" si="8"/>
        <v>17454445000</v>
      </c>
      <c r="E102" s="9">
        <f t="shared" si="8"/>
        <v>16389422000</v>
      </c>
      <c r="F102" s="9">
        <f t="shared" si="8"/>
        <v>16736508000</v>
      </c>
      <c r="G102" s="9">
        <f t="shared" si="8"/>
        <v>16638411000</v>
      </c>
      <c r="H102" s="9">
        <f t="shared" si="8"/>
        <v>13801275000</v>
      </c>
      <c r="I102" s="9">
        <f t="shared" si="8"/>
        <v>11778860000</v>
      </c>
      <c r="J102" s="9">
        <f t="shared" si="8"/>
        <v>11451553000</v>
      </c>
      <c r="K102" s="9">
        <f t="shared" si="8"/>
        <v>10908229000</v>
      </c>
      <c r="L102" s="9">
        <f t="shared" si="8"/>
        <v>7766855000</v>
      </c>
      <c r="M102" s="9">
        <f t="shared" si="8"/>
        <v>7090266000</v>
      </c>
      <c r="N102" s="9">
        <f t="shared" si="8"/>
        <v>8097145000</v>
      </c>
      <c r="O102" s="9">
        <f t="shared" si="8"/>
        <v>9760048000</v>
      </c>
      <c r="P102" s="9">
        <f t="shared" si="8"/>
        <v>0</v>
      </c>
    </row>
    <row r="103" spans="1:16">
      <c r="A103" s="5" t="s">
        <v>205</v>
      </c>
      <c r="B103" s="1">
        <f>B95/B94</f>
        <v>1.8971906881375333</v>
      </c>
      <c r="C103" s="1">
        <f>C95/C94</f>
        <v>2.0463360395279118</v>
      </c>
      <c r="F103" s="1"/>
      <c r="G103" s="1">
        <f>G95/G94</f>
        <v>2.1973243499638833</v>
      </c>
      <c r="J103" s="1">
        <f t="shared" ref="J103:P103" si="9">J95/J94</f>
        <v>2.177629072548946</v>
      </c>
      <c r="K103" s="1">
        <f t="shared" si="9"/>
        <v>2.2312656224252057</v>
      </c>
      <c r="L103" s="1">
        <f t="shared" si="9"/>
        <v>2.1675550850302829</v>
      </c>
      <c r="M103" s="1">
        <f t="shared" si="9"/>
        <v>2.3012418279300815</v>
      </c>
      <c r="N103" s="1">
        <f t="shared" si="9"/>
        <v>2.7728844044285799</v>
      </c>
      <c r="O103" s="1">
        <f t="shared" si="9"/>
        <v>5.2726258142084044</v>
      </c>
      <c r="P103" s="1">
        <f t="shared" si="9"/>
        <v>1.7510196053957814</v>
      </c>
    </row>
    <row r="104" spans="1:16">
      <c r="A104" s="5" t="s">
        <v>206</v>
      </c>
      <c r="B104" s="1">
        <f>B82/B92</f>
        <v>0.89974367095404928</v>
      </c>
      <c r="C104" s="1">
        <f>C82/C92</f>
        <v>1.0493804035372551</v>
      </c>
      <c r="F104" s="1"/>
      <c r="G104" s="1">
        <f>G82/G92</f>
        <v>1.2006507111848301</v>
      </c>
      <c r="J104" s="1">
        <f t="shared" ref="J104:P104" si="10">J82/J92</f>
        <v>1.1808530201823666</v>
      </c>
      <c r="K104" s="1">
        <f t="shared" si="10"/>
        <v>1.2344381764408272</v>
      </c>
      <c r="L104" s="1">
        <f t="shared" si="10"/>
        <v>1.1707977025219882</v>
      </c>
      <c r="M104" s="1">
        <f t="shared" si="10"/>
        <v>1.3022330699094138</v>
      </c>
      <c r="N104" s="1">
        <f t="shared" si="10"/>
        <v>1.7741107037072765</v>
      </c>
      <c r="O104" s="1">
        <f t="shared" si="10"/>
        <v>4.2758922169794822</v>
      </c>
      <c r="P104" s="1">
        <f t="shared" si="10"/>
        <v>0.75315262971914554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T95"/>
  <sheetViews>
    <sheetView workbookViewId="0">
      <pane xSplit="1" ySplit="2" topLeftCell="N17" activePane="bottomRight" state="frozen"/>
      <selection activeCell="P1" sqref="P1:P1048576"/>
      <selection pane="topRight" activeCell="P1" sqref="P1:P1048576"/>
      <selection pane="bottomLeft" activeCell="P1" sqref="P1:P1048576"/>
      <selection pane="bottomRight" activeCell="O41" sqref="O41"/>
    </sheetView>
  </sheetViews>
  <sheetFormatPr baseColWidth="10" defaultRowHeight="16"/>
  <cols>
    <col min="1" max="1" width="34.6640625" bestFit="1" customWidth="1"/>
    <col min="2" max="15" width="17.33203125" bestFit="1" customWidth="1"/>
    <col min="16" max="17" width="19.6640625" bestFit="1" customWidth="1"/>
    <col min="18" max="18" width="19" bestFit="1" customWidth="1"/>
  </cols>
  <sheetData>
    <row r="1" spans="1:18">
      <c r="A1" t="s">
        <v>0</v>
      </c>
      <c r="B1">
        <v>20240331</v>
      </c>
      <c r="C1" s="6">
        <v>20231231</v>
      </c>
      <c r="D1">
        <v>20230930</v>
      </c>
      <c r="E1">
        <v>20230630</v>
      </c>
      <c r="F1">
        <v>20230331</v>
      </c>
      <c r="G1" s="6">
        <v>20221231</v>
      </c>
      <c r="H1">
        <v>20220930</v>
      </c>
      <c r="I1">
        <v>20220630</v>
      </c>
      <c r="J1">
        <v>20220331</v>
      </c>
      <c r="K1" s="6">
        <v>20211231</v>
      </c>
      <c r="L1" s="6">
        <v>20201231</v>
      </c>
      <c r="M1" s="6">
        <v>20191231</v>
      </c>
      <c r="N1" s="6">
        <v>20181231</v>
      </c>
      <c r="O1" s="6">
        <v>20171231</v>
      </c>
      <c r="P1" s="15" t="s">
        <v>218</v>
      </c>
      <c r="Q1" s="16" t="s">
        <v>219</v>
      </c>
      <c r="R1" s="17" t="s">
        <v>220</v>
      </c>
    </row>
    <row r="2" spans="1:18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s="8" t="s">
        <v>221</v>
      </c>
      <c r="Q2" s="8" t="s">
        <v>222</v>
      </c>
      <c r="R2" s="8" t="s">
        <v>223</v>
      </c>
    </row>
    <row r="3" spans="1:18">
      <c r="A3" t="s">
        <v>184</v>
      </c>
      <c r="B3" s="2">
        <v>118687964000</v>
      </c>
      <c r="C3" s="2">
        <v>476340107000</v>
      </c>
      <c r="D3" s="2">
        <v>328818385000</v>
      </c>
      <c r="E3" s="2">
        <v>206776498000</v>
      </c>
      <c r="F3" s="2">
        <v>105888545000</v>
      </c>
      <c r="G3" s="2">
        <v>511849579000</v>
      </c>
      <c r="H3" s="2">
        <v>361084106000</v>
      </c>
      <c r="I3" s="2">
        <v>225260378000</v>
      </c>
      <c r="J3" s="2">
        <v>105062471000</v>
      </c>
      <c r="K3" s="2">
        <v>439557195000</v>
      </c>
      <c r="L3" s="2">
        <v>431785888000</v>
      </c>
      <c r="M3" s="2">
        <v>408697581000</v>
      </c>
      <c r="N3" s="2">
        <v>415377697000</v>
      </c>
      <c r="O3" s="2">
        <v>354543851000</v>
      </c>
      <c r="P3" s="9">
        <f>SUM(L3:O3,D3,H3)</f>
        <v>2300307508000</v>
      </c>
      <c r="Q3" s="9">
        <f>SUM(D3,H3,L3:N3)</f>
        <v>1945763657000</v>
      </c>
      <c r="R3" s="18">
        <f>SUM(D3,H3,L3)</f>
        <v>1121688379000</v>
      </c>
    </row>
    <row r="4" spans="1:18">
      <c r="A4" t="s">
        <v>183</v>
      </c>
      <c r="B4" s="2">
        <v>118687964000</v>
      </c>
      <c r="C4" s="2">
        <v>476340107000</v>
      </c>
      <c r="D4" s="2">
        <v>328818385000</v>
      </c>
      <c r="E4" s="2">
        <v>206776498000</v>
      </c>
      <c r="F4" s="2">
        <v>105888545000</v>
      </c>
      <c r="G4" s="2">
        <v>511849579000</v>
      </c>
      <c r="H4" s="2">
        <v>361084106000</v>
      </c>
      <c r="I4" s="2">
        <v>225260378000</v>
      </c>
      <c r="J4" s="2">
        <v>105062471000</v>
      </c>
      <c r="K4" s="2">
        <v>439557195000</v>
      </c>
      <c r="L4" s="2">
        <v>431785888000</v>
      </c>
      <c r="M4" s="2">
        <v>408697581000</v>
      </c>
      <c r="N4" s="2">
        <v>415377697000</v>
      </c>
      <c r="O4" s="2">
        <v>354543851000</v>
      </c>
      <c r="P4" s="9">
        <f>SUM(L4:O4,D4,H4)</f>
        <v>2300307508000</v>
      </c>
      <c r="Q4" s="9">
        <f>SUM(D4,H4,L4:N4)</f>
        <v>1945763657000</v>
      </c>
      <c r="R4" s="18">
        <f>SUM(D4,H4,L4)</f>
        <v>1121688379000</v>
      </c>
    </row>
    <row r="5" spans="1:18">
      <c r="A5" t="s">
        <v>182</v>
      </c>
      <c r="B5" s="2">
        <v>113234576000</v>
      </c>
      <c r="C5" s="2">
        <v>453820707000</v>
      </c>
      <c r="D5" s="2">
        <v>313596531000</v>
      </c>
      <c r="E5" s="2">
        <v>198288696000</v>
      </c>
      <c r="F5" s="2">
        <v>102143448000</v>
      </c>
      <c r="G5" s="2">
        <v>490934601000</v>
      </c>
      <c r="H5" s="2">
        <v>347406089000</v>
      </c>
      <c r="I5" s="2">
        <v>217764835000</v>
      </c>
      <c r="J5" s="2">
        <v>101379783000</v>
      </c>
      <c r="K5" s="2">
        <v>418699687000</v>
      </c>
      <c r="L5" s="2">
        <v>412871147000</v>
      </c>
      <c r="M5" s="2">
        <v>389038379000</v>
      </c>
      <c r="N5" s="2">
        <v>395496190000</v>
      </c>
      <c r="O5" s="2">
        <v>334966047000</v>
      </c>
    </row>
    <row r="6" spans="1:18">
      <c r="A6" t="s">
        <v>181</v>
      </c>
      <c r="B6" s="2">
        <v>109622336000</v>
      </c>
      <c r="C6" s="2">
        <v>437964301000</v>
      </c>
      <c r="D6" s="2">
        <v>302650356000</v>
      </c>
      <c r="E6" s="2">
        <v>191945898000</v>
      </c>
      <c r="F6" s="2">
        <v>98093623000</v>
      </c>
      <c r="G6" s="2">
        <v>474677783000</v>
      </c>
      <c r="H6" s="2">
        <v>336096546000</v>
      </c>
      <c r="I6" s="2">
        <v>210609058000</v>
      </c>
      <c r="J6" s="2">
        <v>97948614000</v>
      </c>
      <c r="K6" s="2">
        <v>403041967000</v>
      </c>
      <c r="L6" s="2">
        <v>395719226000</v>
      </c>
      <c r="M6" s="2">
        <v>374450968000</v>
      </c>
      <c r="N6" s="2">
        <v>379485979000</v>
      </c>
      <c r="O6" s="2">
        <v>318581972000</v>
      </c>
      <c r="P6" s="9">
        <f>SUM(L6:O6,D6,H6)</f>
        <v>2106985047000</v>
      </c>
      <c r="Q6" s="9">
        <f>SUM(D6,H6,L6:N6)</f>
        <v>1788403075000</v>
      </c>
      <c r="R6" s="18">
        <f>SUM(D6,H6,L6)</f>
        <v>1034466128000</v>
      </c>
    </row>
    <row r="7" spans="1:18">
      <c r="A7" t="s">
        <v>180</v>
      </c>
      <c r="B7" s="2">
        <v>85053000</v>
      </c>
      <c r="C7" s="2">
        <v>380730000</v>
      </c>
      <c r="D7" s="2">
        <v>308136000</v>
      </c>
      <c r="E7" s="2">
        <v>204191000</v>
      </c>
      <c r="F7" s="2">
        <v>136764000</v>
      </c>
      <c r="G7" s="2">
        <v>486119000</v>
      </c>
      <c r="H7" s="2">
        <v>389221000</v>
      </c>
      <c r="I7" s="2">
        <v>242448000</v>
      </c>
      <c r="J7" s="2">
        <v>132593000</v>
      </c>
      <c r="K7" s="2">
        <v>595884000</v>
      </c>
      <c r="L7" s="2">
        <v>723237000</v>
      </c>
      <c r="M7" s="2">
        <v>641577000</v>
      </c>
      <c r="N7" s="2">
        <v>456033000</v>
      </c>
      <c r="O7" s="2">
        <v>540014000</v>
      </c>
    </row>
    <row r="8" spans="1:18">
      <c r="A8" t="s">
        <v>179</v>
      </c>
      <c r="B8" s="2">
        <v>301506000</v>
      </c>
      <c r="C8" s="2">
        <v>1024450000</v>
      </c>
      <c r="D8" s="2">
        <v>799466000</v>
      </c>
      <c r="E8" s="2">
        <v>524382000</v>
      </c>
      <c r="F8" s="2">
        <v>322821000</v>
      </c>
      <c r="G8" s="2">
        <v>1057828000</v>
      </c>
      <c r="H8" s="2">
        <v>820356000</v>
      </c>
      <c r="I8" s="2">
        <v>530729000</v>
      </c>
      <c r="J8" s="2">
        <v>248784000</v>
      </c>
      <c r="K8" s="2">
        <v>896045000</v>
      </c>
      <c r="L8" s="2">
        <v>2124527000</v>
      </c>
      <c r="M8" s="2">
        <v>1732902000</v>
      </c>
      <c r="N8" s="2">
        <v>1791128000</v>
      </c>
      <c r="O8" s="2">
        <v>1792821000</v>
      </c>
    </row>
    <row r="9" spans="1:18">
      <c r="A9" t="s">
        <v>178</v>
      </c>
      <c r="B9" s="2">
        <v>1206625000</v>
      </c>
      <c r="C9" s="2">
        <v>4225829000</v>
      </c>
      <c r="D9" s="2">
        <v>2987833000</v>
      </c>
      <c r="E9" s="2">
        <v>1802602000</v>
      </c>
      <c r="F9" s="2">
        <v>850138000</v>
      </c>
      <c r="G9" s="2">
        <v>3828399000</v>
      </c>
      <c r="H9" s="2">
        <v>2896944000</v>
      </c>
      <c r="I9" s="2">
        <v>1816053000</v>
      </c>
      <c r="J9" s="2">
        <v>846458000</v>
      </c>
      <c r="K9" s="2">
        <v>4157148000</v>
      </c>
      <c r="L9" s="2">
        <v>4502723000</v>
      </c>
      <c r="M9" s="2">
        <v>3521068000</v>
      </c>
      <c r="N9" s="2">
        <v>4351957000</v>
      </c>
      <c r="O9" s="2">
        <v>12425666000</v>
      </c>
    </row>
    <row r="10" spans="1:18">
      <c r="A10" t="s">
        <v>101</v>
      </c>
      <c r="B10" s="2">
        <v>-244218000</v>
      </c>
      <c r="C10" s="2">
        <v>-585810000</v>
      </c>
      <c r="D10" s="2">
        <v>-965866000</v>
      </c>
      <c r="E10" s="2">
        <v>-1120327000</v>
      </c>
      <c r="F10" s="2">
        <v>298883000</v>
      </c>
      <c r="G10" s="2">
        <v>-703542000</v>
      </c>
      <c r="H10" s="2">
        <v>-1146199000</v>
      </c>
      <c r="I10" s="2">
        <v>-540564000</v>
      </c>
      <c r="J10" s="2">
        <v>-202689000</v>
      </c>
      <c r="K10" s="2">
        <v>-826389000</v>
      </c>
      <c r="L10" s="2">
        <v>-236295000</v>
      </c>
      <c r="M10" s="2">
        <v>-735316000</v>
      </c>
      <c r="N10" s="2">
        <v>-324098000</v>
      </c>
      <c r="O10" s="2">
        <v>855147000</v>
      </c>
    </row>
    <row r="11" spans="1:18">
      <c r="A11" t="s">
        <v>177</v>
      </c>
      <c r="B11" s="2">
        <v>2263274000</v>
      </c>
      <c r="C11" s="2">
        <v>10811207000</v>
      </c>
      <c r="D11" s="2">
        <v>7816606000</v>
      </c>
      <c r="E11" s="2">
        <v>4931950000</v>
      </c>
      <c r="F11" s="2">
        <v>2441219000</v>
      </c>
      <c r="G11" s="2">
        <v>11588014000</v>
      </c>
      <c r="H11" s="2">
        <v>8349221000</v>
      </c>
      <c r="I11" s="2">
        <v>5107111000</v>
      </c>
      <c r="J11" s="2">
        <v>2406023000</v>
      </c>
      <c r="K11" s="2">
        <v>10835032000</v>
      </c>
      <c r="L11" s="2">
        <v>10037729000</v>
      </c>
      <c r="M11" s="2">
        <v>9427180000</v>
      </c>
      <c r="N11" s="2">
        <v>8998879000</v>
      </c>
      <c r="O11" s="2">
        <v>0</v>
      </c>
    </row>
    <row r="12" spans="1:18">
      <c r="A12" t="s">
        <v>176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736312000</v>
      </c>
      <c r="O12" s="2">
        <v>770427000</v>
      </c>
      <c r="P12" s="9">
        <f>SUM(L12:O12,D12,H12)</f>
        <v>1506739000</v>
      </c>
      <c r="Q12" s="9">
        <f>SUM(D12,H12,L12:N12)</f>
        <v>736312000</v>
      </c>
      <c r="R12" s="18">
        <f>SUM(D12,H12,L12)</f>
        <v>0</v>
      </c>
    </row>
    <row r="13" spans="1:18">
      <c r="A13" t="s">
        <v>175</v>
      </c>
      <c r="B13" s="2">
        <v>-438367000</v>
      </c>
      <c r="C13" s="2">
        <v>263599000</v>
      </c>
      <c r="D13" s="2">
        <v>16934000</v>
      </c>
      <c r="E13" s="2">
        <v>-14540000</v>
      </c>
      <c r="F13" s="2">
        <v>183080000</v>
      </c>
      <c r="G13" s="2">
        <v>-70113000</v>
      </c>
      <c r="H13" s="2">
        <v>-242049000</v>
      </c>
      <c r="I13" s="2">
        <v>22470000</v>
      </c>
      <c r="J13" s="2">
        <v>-10312000</v>
      </c>
      <c r="K13" s="2">
        <v>-481483000</v>
      </c>
      <c r="L13" s="2">
        <v>312832000</v>
      </c>
      <c r="M13" s="2">
        <v>156692000</v>
      </c>
      <c r="N13" s="2">
        <v>-115000</v>
      </c>
      <c r="O13" s="2">
        <v>0</v>
      </c>
    </row>
    <row r="14" spans="1:18">
      <c r="A14" t="s">
        <v>174</v>
      </c>
      <c r="B14" s="2">
        <v>138257000</v>
      </c>
      <c r="C14" s="2">
        <v>-666115000</v>
      </c>
      <c r="D14" s="2">
        <v>-865068000</v>
      </c>
      <c r="E14" s="2">
        <v>-942925000</v>
      </c>
      <c r="F14" s="2">
        <v>-545100000</v>
      </c>
      <c r="G14" s="2">
        <v>30264000</v>
      </c>
      <c r="H14" s="2">
        <v>48472000</v>
      </c>
      <c r="I14" s="2">
        <v>6536000</v>
      </c>
      <c r="J14" s="2">
        <v>-6431000</v>
      </c>
      <c r="K14" s="2">
        <v>979147000</v>
      </c>
      <c r="L14" s="2">
        <v>329483000</v>
      </c>
      <c r="M14" s="2">
        <v>161460000</v>
      </c>
      <c r="N14" s="2">
        <v>-420162000</v>
      </c>
      <c r="O14" s="2">
        <v>18100000</v>
      </c>
      <c r="P14" s="9">
        <f>SUM(L14:O14,D14,H14)</f>
        <v>-727715000</v>
      </c>
      <c r="Q14" s="9">
        <f>SUM(D14,H14,L14:N14)</f>
        <v>-745815000</v>
      </c>
      <c r="R14" s="18">
        <f>SUM(D14,H14,L14)</f>
        <v>-487113000</v>
      </c>
    </row>
    <row r="15" spans="1:18">
      <c r="A15" t="s">
        <v>173</v>
      </c>
      <c r="B15" s="2">
        <v>17029000</v>
      </c>
      <c r="C15" s="2">
        <v>252442000</v>
      </c>
      <c r="D15" s="2">
        <v>32432000</v>
      </c>
      <c r="E15" s="2">
        <v>23837000</v>
      </c>
      <c r="F15" s="2">
        <v>-1005000</v>
      </c>
      <c r="G15" s="2">
        <v>2637000</v>
      </c>
      <c r="H15" s="2">
        <v>-16285000</v>
      </c>
      <c r="I15" s="2">
        <v>-17086000</v>
      </c>
      <c r="J15" s="2">
        <v>-1397000</v>
      </c>
      <c r="K15" s="2">
        <v>14046000</v>
      </c>
      <c r="L15" s="2">
        <v>2233000</v>
      </c>
      <c r="M15" s="2">
        <v>2167000</v>
      </c>
      <c r="N15" s="2">
        <v>-1672000</v>
      </c>
      <c r="O15" s="2">
        <v>-10119000</v>
      </c>
    </row>
    <row r="16" spans="1:18">
      <c r="A16" t="s">
        <v>172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8">
      <c r="A17" t="s">
        <v>171</v>
      </c>
      <c r="B17" s="2">
        <v>4758479000</v>
      </c>
      <c r="C17" s="2">
        <v>23066908000</v>
      </c>
      <c r="D17" s="2">
        <v>14591049000</v>
      </c>
      <c r="E17" s="2">
        <v>7681086000</v>
      </c>
      <c r="F17" s="2">
        <v>3434886000</v>
      </c>
      <c r="G17" s="2">
        <v>21872351000</v>
      </c>
      <c r="H17" s="2">
        <v>13176858000</v>
      </c>
      <c r="I17" s="2">
        <v>7521282000</v>
      </c>
      <c r="J17" s="2">
        <v>3677307000</v>
      </c>
      <c r="K17" s="2">
        <v>22397600000</v>
      </c>
      <c r="L17" s="2">
        <v>19715657000</v>
      </c>
      <c r="M17" s="2">
        <v>21106569000</v>
      </c>
      <c r="N17" s="2">
        <v>20082629000</v>
      </c>
      <c r="O17" s="2">
        <v>19957132000</v>
      </c>
    </row>
    <row r="18" spans="1:18">
      <c r="A18" t="s">
        <v>170</v>
      </c>
      <c r="B18" s="2">
        <v>4372000</v>
      </c>
      <c r="C18" s="2">
        <v>123561000</v>
      </c>
      <c r="D18" s="2">
        <v>256613000</v>
      </c>
      <c r="E18" s="2">
        <v>49713000</v>
      </c>
      <c r="F18" s="2">
        <v>13974000</v>
      </c>
      <c r="G18" s="2">
        <v>121232000</v>
      </c>
      <c r="H18" s="2">
        <v>67805000</v>
      </c>
      <c r="I18" s="2">
        <v>55805000</v>
      </c>
      <c r="J18" s="2">
        <v>6979000</v>
      </c>
      <c r="K18" s="2">
        <v>83798000</v>
      </c>
      <c r="L18" s="2">
        <v>91955000</v>
      </c>
      <c r="M18" s="2">
        <v>85168000</v>
      </c>
      <c r="N18" s="2">
        <v>38100000</v>
      </c>
      <c r="O18" s="2">
        <v>88311000</v>
      </c>
    </row>
    <row r="19" spans="1:18">
      <c r="A19" t="s">
        <v>169</v>
      </c>
      <c r="B19" s="2">
        <v>4885000</v>
      </c>
      <c r="C19" s="2">
        <v>66391000</v>
      </c>
      <c r="D19" s="2">
        <v>36237000</v>
      </c>
      <c r="E19" s="2">
        <v>22210000</v>
      </c>
      <c r="F19" s="2">
        <v>5935000</v>
      </c>
      <c r="G19" s="2">
        <v>30581000</v>
      </c>
      <c r="H19" s="2">
        <v>4924000</v>
      </c>
      <c r="I19" s="2">
        <v>2507000</v>
      </c>
      <c r="J19" s="2">
        <v>18110000</v>
      </c>
      <c r="K19" s="2">
        <v>163652000</v>
      </c>
      <c r="L19" s="2">
        <v>61724000</v>
      </c>
      <c r="M19" s="2">
        <v>59301000</v>
      </c>
      <c r="N19" s="2">
        <v>49242000</v>
      </c>
      <c r="O19" s="2">
        <v>4175000</v>
      </c>
    </row>
    <row r="20" spans="1:18">
      <c r="A20" t="s">
        <v>168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8">
      <c r="A21" t="s">
        <v>167</v>
      </c>
      <c r="B21" s="2">
        <v>4757966000</v>
      </c>
      <c r="C21" s="2">
        <v>23124078000</v>
      </c>
      <c r="D21" s="2">
        <v>14811425000</v>
      </c>
      <c r="E21" s="2">
        <v>7708589000</v>
      </c>
      <c r="F21" s="2">
        <v>3442925000</v>
      </c>
      <c r="G21" s="2">
        <v>21963002000</v>
      </c>
      <c r="H21" s="2">
        <v>13239739000</v>
      </c>
      <c r="I21" s="2">
        <v>7574580000</v>
      </c>
      <c r="J21" s="2">
        <v>3666176000</v>
      </c>
      <c r="K21" s="2">
        <v>22317746000</v>
      </c>
      <c r="L21" s="2">
        <v>19745888000</v>
      </c>
      <c r="M21" s="2">
        <v>21132436000</v>
      </c>
      <c r="N21" s="2">
        <v>20071487000</v>
      </c>
      <c r="O21" s="2">
        <v>20041268000</v>
      </c>
      <c r="P21" s="9">
        <f>SUM(L21:O21,D21,H21)</f>
        <v>109042243000</v>
      </c>
      <c r="Q21" s="9">
        <f>SUM(D21,H21,L21:N21)</f>
        <v>89000975000</v>
      </c>
      <c r="R21" s="9">
        <f>SUM(D21,H21,L21)</f>
        <v>47797052000</v>
      </c>
    </row>
    <row r="22" spans="1:18">
      <c r="A22" t="s">
        <v>166</v>
      </c>
      <c r="B22" s="2">
        <v>564206000</v>
      </c>
      <c r="C22" s="2">
        <v>2105765000</v>
      </c>
      <c r="D22" s="2">
        <v>1315633000</v>
      </c>
      <c r="E22" s="2">
        <v>550072000</v>
      </c>
      <c r="F22" s="2">
        <v>318831000</v>
      </c>
      <c r="G22" s="2">
        <v>1879113000</v>
      </c>
      <c r="H22" s="2">
        <v>1432587000</v>
      </c>
      <c r="I22" s="2">
        <v>693387000</v>
      </c>
      <c r="J22" s="2">
        <v>411519000</v>
      </c>
      <c r="K22" s="2">
        <v>2293010000</v>
      </c>
      <c r="L22" s="2">
        <v>2319196000</v>
      </c>
      <c r="M22" s="2">
        <v>2526388000</v>
      </c>
      <c r="N22" s="2">
        <v>3163930000</v>
      </c>
      <c r="O22" s="2">
        <v>3821342000</v>
      </c>
      <c r="P22" s="9">
        <f>SUM(L22:O22,D22,H22)</f>
        <v>14579076000</v>
      </c>
      <c r="Q22" s="9">
        <f>SUM(D22,H22,L22:N22)</f>
        <v>10757734000</v>
      </c>
      <c r="R22" s="9">
        <f>SUM(D22,H22,L22)</f>
        <v>5067416000</v>
      </c>
    </row>
    <row r="23" spans="1:18">
      <c r="A23" t="s">
        <v>165</v>
      </c>
      <c r="B23" s="2">
        <v>4193760000</v>
      </c>
      <c r="C23" s="2">
        <v>21018313000</v>
      </c>
      <c r="D23" s="2">
        <v>13495792000</v>
      </c>
      <c r="E23" s="2">
        <v>7158517000</v>
      </c>
      <c r="F23" s="2">
        <v>3124094000</v>
      </c>
      <c r="G23" s="2">
        <v>20083889000</v>
      </c>
      <c r="H23" s="2">
        <v>11807152000</v>
      </c>
      <c r="I23" s="2">
        <v>6881193000</v>
      </c>
      <c r="J23" s="2">
        <v>3254657000</v>
      </c>
      <c r="K23" s="2">
        <v>20024736000</v>
      </c>
      <c r="L23" s="2">
        <v>17426692000</v>
      </c>
      <c r="M23" s="2">
        <v>18606048000</v>
      </c>
      <c r="N23" s="2">
        <v>16907557000</v>
      </c>
      <c r="O23" s="2">
        <v>16219926000</v>
      </c>
      <c r="P23" s="9">
        <f>SUM(L23:O23,D23,H23)</f>
        <v>94463167000</v>
      </c>
      <c r="Q23" s="9">
        <f>SUM(D23,H23,L23:N23)</f>
        <v>78243241000</v>
      </c>
      <c r="R23" s="9">
        <f>SUM(D23,H23,L23)</f>
        <v>42729636000</v>
      </c>
    </row>
    <row r="24" spans="1:18">
      <c r="A24" s="4" t="s">
        <v>164</v>
      </c>
      <c r="B24" s="2">
        <v>4184884000</v>
      </c>
      <c r="C24" s="2">
        <v>21040193000</v>
      </c>
      <c r="D24" s="2">
        <v>13484712000</v>
      </c>
      <c r="E24" s="2">
        <v>7161029000</v>
      </c>
      <c r="F24" s="2">
        <v>3128370000</v>
      </c>
      <c r="G24" s="2">
        <v>20073072000</v>
      </c>
      <c r="H24" s="2">
        <v>11795897000</v>
      </c>
      <c r="I24" s="2">
        <v>6871623000</v>
      </c>
      <c r="J24" s="2">
        <v>3255787000</v>
      </c>
      <c r="K24" s="2">
        <v>20009751000</v>
      </c>
      <c r="L24" s="2">
        <v>17430783000</v>
      </c>
      <c r="M24" s="2">
        <v>18606184000</v>
      </c>
      <c r="N24" s="2">
        <v>16902307000</v>
      </c>
      <c r="O24" s="2">
        <v>15867607000</v>
      </c>
      <c r="P24" s="10">
        <f>SUM(L24:O24,D24,H24)</f>
        <v>94087490000</v>
      </c>
      <c r="Q24" s="10">
        <f>SUM(D24,H24,L24:N24)</f>
        <v>78219883000</v>
      </c>
      <c r="R24" s="10">
        <f>SUM(D24,H24,L24)</f>
        <v>42711392000</v>
      </c>
    </row>
    <row r="25" spans="1:18">
      <c r="A25" t="s">
        <v>163</v>
      </c>
      <c r="B25" s="2">
        <v>8876000</v>
      </c>
      <c r="C25" s="2">
        <v>-21880000</v>
      </c>
      <c r="D25" s="2">
        <v>11080000</v>
      </c>
      <c r="E25" s="2">
        <v>-2512000</v>
      </c>
      <c r="F25" s="2">
        <v>-4276000</v>
      </c>
      <c r="G25" s="2">
        <v>10817000</v>
      </c>
      <c r="H25" s="2">
        <v>11255000</v>
      </c>
      <c r="I25" s="2">
        <v>9570000</v>
      </c>
      <c r="J25" s="2">
        <v>-1130000</v>
      </c>
      <c r="K25" s="2">
        <v>14985000</v>
      </c>
      <c r="L25" s="2">
        <v>-4091000</v>
      </c>
      <c r="M25" s="2">
        <v>-136000</v>
      </c>
      <c r="N25" s="2">
        <v>5250000</v>
      </c>
      <c r="O25" s="2">
        <v>352319000</v>
      </c>
    </row>
    <row r="26" spans="1:18">
      <c r="A26" t="s">
        <v>162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8">
      <c r="A27" t="s">
        <v>161</v>
      </c>
      <c r="B27" s="2">
        <v>0.21</v>
      </c>
      <c r="C27" s="2">
        <v>1.06</v>
      </c>
      <c r="D27" s="2">
        <v>0.68</v>
      </c>
      <c r="E27" s="2">
        <v>0.36</v>
      </c>
      <c r="F27" s="2">
        <v>0.16</v>
      </c>
      <c r="G27" s="2">
        <v>1.02</v>
      </c>
      <c r="H27" s="2">
        <v>0.59</v>
      </c>
      <c r="I27" s="2">
        <v>0.35</v>
      </c>
      <c r="J27" s="2">
        <v>0.16</v>
      </c>
      <c r="K27" s="2">
        <v>1.01</v>
      </c>
      <c r="L27" s="2">
        <v>0.88</v>
      </c>
      <c r="M27" s="2">
        <v>0.94</v>
      </c>
      <c r="N27" s="2">
        <v>0.9</v>
      </c>
      <c r="O27" s="2">
        <v>0.95</v>
      </c>
    </row>
    <row r="28" spans="1:18">
      <c r="A28" t="s">
        <v>160</v>
      </c>
      <c r="B28" s="2">
        <v>0.21</v>
      </c>
      <c r="C28" s="2">
        <v>1.06</v>
      </c>
      <c r="D28" s="2">
        <v>0.68</v>
      </c>
      <c r="E28" s="2">
        <v>0.36</v>
      </c>
      <c r="F28" s="2">
        <v>0.16</v>
      </c>
      <c r="G28" s="2">
        <v>1.02</v>
      </c>
      <c r="H28" s="2">
        <v>0.59</v>
      </c>
      <c r="I28" s="2">
        <v>0.35</v>
      </c>
      <c r="J28" s="2">
        <v>0.16</v>
      </c>
      <c r="K28" s="2">
        <v>1.01</v>
      </c>
      <c r="L28" s="2">
        <v>0.88</v>
      </c>
      <c r="M28" s="2">
        <v>0.94</v>
      </c>
      <c r="N28" s="2">
        <v>0.9</v>
      </c>
      <c r="O28" s="2">
        <v>0.95</v>
      </c>
    </row>
    <row r="29" spans="1:18">
      <c r="A29" t="s">
        <v>159</v>
      </c>
      <c r="B29" s="2">
        <v>918795000</v>
      </c>
      <c r="C29" s="2">
        <v>236899000</v>
      </c>
      <c r="D29" s="2">
        <v>595009000</v>
      </c>
      <c r="E29" s="2">
        <v>788956000</v>
      </c>
      <c r="F29" s="2">
        <v>9171000</v>
      </c>
      <c r="G29" s="2">
        <v>1106340000</v>
      </c>
      <c r="H29" s="2">
        <v>655353000</v>
      </c>
      <c r="I29" s="2">
        <v>456613000</v>
      </c>
      <c r="J29" s="2">
        <v>448344000</v>
      </c>
      <c r="K29" s="2">
        <v>-442464000</v>
      </c>
      <c r="L29" s="2">
        <v>-203830000</v>
      </c>
      <c r="M29" s="2">
        <v>151374000</v>
      </c>
      <c r="N29" s="2">
        <v>139779000</v>
      </c>
      <c r="O29" s="2">
        <v>-503912000</v>
      </c>
    </row>
    <row r="30" spans="1:18">
      <c r="A30" t="s">
        <v>158</v>
      </c>
      <c r="B30" s="2">
        <v>5112555000</v>
      </c>
      <c r="C30" s="2">
        <v>21255212000</v>
      </c>
      <c r="D30" s="2">
        <v>14090801000</v>
      </c>
      <c r="E30" s="2">
        <v>7947473000</v>
      </c>
      <c r="F30" s="2">
        <v>3133265000</v>
      </c>
      <c r="G30" s="2">
        <v>21190229000</v>
      </c>
      <c r="H30" s="2">
        <v>12462505000</v>
      </c>
      <c r="I30" s="2">
        <v>7337806000</v>
      </c>
      <c r="J30" s="2">
        <v>3703001000</v>
      </c>
      <c r="K30" s="2">
        <v>19582272000</v>
      </c>
      <c r="L30" s="2">
        <v>17222862000</v>
      </c>
      <c r="M30" s="2">
        <v>18757422000</v>
      </c>
      <c r="N30" s="2">
        <v>17047336000</v>
      </c>
      <c r="O30" s="2">
        <v>15716014000</v>
      </c>
    </row>
    <row r="31" spans="1:18">
      <c r="A31" t="s">
        <v>157</v>
      </c>
      <c r="B31" s="2">
        <v>5103679000</v>
      </c>
      <c r="C31" s="2">
        <v>21277092000</v>
      </c>
      <c r="D31" s="2">
        <v>14079721000</v>
      </c>
      <c r="E31" s="2">
        <v>7949985000</v>
      </c>
      <c r="F31" s="2">
        <v>3137541000</v>
      </c>
      <c r="G31" s="2">
        <v>21179412000</v>
      </c>
      <c r="H31" s="2">
        <v>12451250000</v>
      </c>
      <c r="I31" s="2">
        <v>7328236000</v>
      </c>
      <c r="J31" s="2">
        <v>3704131000</v>
      </c>
      <c r="K31" s="2">
        <v>19567287000</v>
      </c>
      <c r="L31" s="2">
        <v>17226953000</v>
      </c>
      <c r="M31" s="2">
        <v>18757558000</v>
      </c>
      <c r="N31" s="2">
        <v>17042086000</v>
      </c>
      <c r="O31" s="2">
        <v>15363695000</v>
      </c>
    </row>
    <row r="32" spans="1:18">
      <c r="A32" t="s">
        <v>156</v>
      </c>
      <c r="B32" s="2">
        <v>8876000</v>
      </c>
      <c r="C32" s="2">
        <v>-21880000</v>
      </c>
      <c r="D32" s="2">
        <v>11080000</v>
      </c>
      <c r="E32" s="2">
        <v>-2512000</v>
      </c>
      <c r="F32" s="2">
        <v>-4276000</v>
      </c>
      <c r="G32" s="2">
        <v>10817000</v>
      </c>
      <c r="H32" s="2">
        <v>11255000</v>
      </c>
      <c r="I32" s="2">
        <v>9570000</v>
      </c>
      <c r="J32" s="2">
        <v>-1130000</v>
      </c>
      <c r="K32" s="2">
        <v>14985000</v>
      </c>
      <c r="L32" s="2">
        <v>-4091000</v>
      </c>
      <c r="M32" s="2">
        <v>-136000</v>
      </c>
      <c r="N32" s="2">
        <v>5250000</v>
      </c>
      <c r="O32" s="2">
        <v>352319000</v>
      </c>
    </row>
    <row r="33" spans="1:46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46" s="5" customFormat="1">
      <c r="A34" s="5" t="s">
        <v>209</v>
      </c>
      <c r="B34" s="19">
        <f>(B4-B6)/B4</f>
        <v>7.6382033143647152E-2</v>
      </c>
      <c r="C34" s="19">
        <f t="shared" ref="C34:O34" si="0">(C4-C6)/C4</f>
        <v>8.0563877439780648E-2</v>
      </c>
      <c r="D34" s="19">
        <f t="shared" si="0"/>
        <v>7.9582013031296903E-2</v>
      </c>
      <c r="E34" s="19">
        <f t="shared" si="0"/>
        <v>7.1722851211069458E-2</v>
      </c>
      <c r="F34" s="19">
        <f t="shared" si="0"/>
        <v>7.3614402766607093E-2</v>
      </c>
      <c r="G34" s="19">
        <f t="shared" si="0"/>
        <v>7.2622499900502999E-2</v>
      </c>
      <c r="H34" s="19">
        <f t="shared" si="0"/>
        <v>6.9201495122025669E-2</v>
      </c>
      <c r="I34" s="19">
        <f t="shared" si="0"/>
        <v>6.5041709199298248E-2</v>
      </c>
      <c r="J34" s="19">
        <f t="shared" si="0"/>
        <v>6.7710733740499976E-2</v>
      </c>
      <c r="K34" s="19">
        <f t="shared" si="0"/>
        <v>8.3072756891170899E-2</v>
      </c>
      <c r="L34" s="19">
        <f t="shared" si="0"/>
        <v>8.3529042987157562E-2</v>
      </c>
      <c r="M34" s="19">
        <f t="shared" si="0"/>
        <v>8.3794508683426736E-2</v>
      </c>
      <c r="N34" s="19">
        <f t="shared" si="0"/>
        <v>8.6407426925475969E-2</v>
      </c>
      <c r="O34" s="19">
        <f t="shared" si="0"/>
        <v>0.10143139952524519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</row>
    <row r="35" spans="1:46" s="5" customFormat="1">
      <c r="A35" s="5" t="s">
        <v>210</v>
      </c>
      <c r="B35" s="19">
        <f>B23/B3</f>
        <v>3.533433263713244E-2</v>
      </c>
      <c r="C35" s="19">
        <f t="shared" ref="C35:O35" si="1">C23/C3</f>
        <v>4.412459226323346E-2</v>
      </c>
      <c r="D35" s="19">
        <f t="shared" si="1"/>
        <v>4.1043301152397543E-2</v>
      </c>
      <c r="E35" s="19">
        <f t="shared" si="1"/>
        <v>3.4619587183452538E-2</v>
      </c>
      <c r="F35" s="19">
        <f t="shared" si="1"/>
        <v>2.9503606834903624E-2</v>
      </c>
      <c r="G35" s="19">
        <f t="shared" si="1"/>
        <v>3.9237873437813257E-2</v>
      </c>
      <c r="H35" s="19">
        <f t="shared" si="1"/>
        <v>3.2699173970288244E-2</v>
      </c>
      <c r="I35" s="19">
        <f t="shared" si="1"/>
        <v>3.0547729081765104E-2</v>
      </c>
      <c r="J35" s="19">
        <f t="shared" si="1"/>
        <v>3.0978302423517148E-2</v>
      </c>
      <c r="K35" s="19">
        <f t="shared" si="1"/>
        <v>4.5556610670427086E-2</v>
      </c>
      <c r="L35" s="19">
        <f t="shared" si="1"/>
        <v>4.0359568212660069E-2</v>
      </c>
      <c r="M35" s="19">
        <f t="shared" si="1"/>
        <v>4.5525221740913606E-2</v>
      </c>
      <c r="N35" s="19">
        <f t="shared" si="1"/>
        <v>4.0704055904089619E-2</v>
      </c>
      <c r="O35" s="19">
        <f t="shared" si="1"/>
        <v>4.5748716144001042E-2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</row>
    <row r="36" spans="1:46" s="5" customFormat="1">
      <c r="A36" s="5" t="s">
        <v>211</v>
      </c>
      <c r="B36" s="19">
        <f>B22/B21</f>
        <v>0.11858134337235701</v>
      </c>
      <c r="C36" s="19">
        <f t="shared" ref="C36:O36" si="2">C22/C21</f>
        <v>9.1063738843987635E-2</v>
      </c>
      <c r="D36" s="19">
        <f t="shared" si="2"/>
        <v>8.8825551896593344E-2</v>
      </c>
      <c r="E36" s="19">
        <f t="shared" si="2"/>
        <v>7.1358325109822304E-2</v>
      </c>
      <c r="F36" s="19">
        <f t="shared" si="2"/>
        <v>9.2604689326662645E-2</v>
      </c>
      <c r="G36" s="19">
        <f t="shared" si="2"/>
        <v>8.5558112684231413E-2</v>
      </c>
      <c r="H36" s="19">
        <f t="shared" si="2"/>
        <v>0.10820356806127372</v>
      </c>
      <c r="I36" s="19">
        <f t="shared" si="2"/>
        <v>9.1541313181720971E-2</v>
      </c>
      <c r="J36" s="19">
        <f t="shared" si="2"/>
        <v>0.11224747529851267</v>
      </c>
      <c r="K36" s="19">
        <f t="shared" si="2"/>
        <v>0.10274379858969629</v>
      </c>
      <c r="L36" s="19">
        <f t="shared" si="2"/>
        <v>0.11745209939406119</v>
      </c>
      <c r="M36" s="19">
        <f t="shared" si="2"/>
        <v>0.11955024967306183</v>
      </c>
      <c r="N36" s="19">
        <f t="shared" si="2"/>
        <v>0.15763306425677381</v>
      </c>
      <c r="O36" s="19">
        <f t="shared" si="2"/>
        <v>0.19067366396178126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</row>
    <row r="37" spans="1:46">
      <c r="A37" s="5" t="s">
        <v>212</v>
      </c>
      <c r="B37" s="20">
        <f>B11/B3</f>
        <v>1.9069111338029188E-2</v>
      </c>
      <c r="C37" s="20">
        <f t="shared" ref="C37:I37" si="3">C11/C3</f>
        <v>2.2696402929598368E-2</v>
      </c>
      <c r="D37" s="20">
        <f t="shared" si="3"/>
        <v>2.3771803392319442E-2</v>
      </c>
      <c r="E37" s="20">
        <f t="shared" si="3"/>
        <v>2.3851598453901661E-2</v>
      </c>
      <c r="F37" s="20">
        <f t="shared" si="3"/>
        <v>2.3054608975881196E-2</v>
      </c>
      <c r="G37" s="20">
        <f t="shared" si="3"/>
        <v>2.2639491122840211E-2</v>
      </c>
      <c r="H37" s="20">
        <f t="shared" si="3"/>
        <v>2.3122648882252381E-2</v>
      </c>
      <c r="I37" s="20">
        <f t="shared" si="3"/>
        <v>2.2672034226986871E-2</v>
      </c>
    </row>
    <row r="38" spans="1:46">
      <c r="A38" s="11" t="s">
        <v>213</v>
      </c>
    </row>
    <row r="39" spans="1:46">
      <c r="A39" s="5" t="s">
        <v>184</v>
      </c>
      <c r="B39" s="21">
        <f>B3</f>
        <v>118687964000</v>
      </c>
      <c r="C39" s="21">
        <f>C3-D3</f>
        <v>147521722000</v>
      </c>
      <c r="D39" s="21">
        <f>D3-E3</f>
        <v>122041887000</v>
      </c>
      <c r="E39" s="21">
        <f>E3-F3</f>
        <v>100887953000</v>
      </c>
      <c r="F39" s="21">
        <f>F3</f>
        <v>105888545000</v>
      </c>
      <c r="G39" s="21">
        <f>G3-H3</f>
        <v>150765473000</v>
      </c>
      <c r="H39" s="21">
        <f>H3-I3</f>
        <v>135823728000</v>
      </c>
      <c r="I39" s="21">
        <f>I3-J3</f>
        <v>120197907000</v>
      </c>
      <c r="J39" s="21">
        <f>J3</f>
        <v>105062471000</v>
      </c>
      <c r="K39" s="21"/>
      <c r="L39" s="21"/>
      <c r="M39" s="21"/>
      <c r="N39" s="21"/>
      <c r="O39" s="21"/>
      <c r="P39" s="9"/>
    </row>
    <row r="40" spans="1:46">
      <c r="A40" s="12" t="s">
        <v>183</v>
      </c>
      <c r="B40" s="21">
        <f t="shared" ref="B40:B68" si="4">B4</f>
        <v>118687964000</v>
      </c>
      <c r="C40" s="21">
        <f t="shared" ref="C40:E55" si="5">C4-D4</f>
        <v>147521722000</v>
      </c>
      <c r="D40" s="21">
        <f t="shared" si="5"/>
        <v>122041887000</v>
      </c>
      <c r="E40" s="21">
        <f t="shared" si="5"/>
        <v>100887953000</v>
      </c>
      <c r="F40" s="21">
        <f t="shared" ref="F40:F68" si="6">F4</f>
        <v>105888545000</v>
      </c>
      <c r="G40" s="21">
        <f t="shared" ref="G40:I55" si="7">G4-H4</f>
        <v>150765473000</v>
      </c>
      <c r="H40" s="21">
        <f t="shared" si="7"/>
        <v>135823728000</v>
      </c>
      <c r="I40" s="21">
        <f t="shared" si="7"/>
        <v>120197907000</v>
      </c>
      <c r="J40" s="21">
        <f t="shared" ref="J40:J68" si="8">J4</f>
        <v>105062471000</v>
      </c>
      <c r="K40" s="21"/>
      <c r="L40" s="21"/>
      <c r="M40" s="21"/>
      <c r="N40" s="21"/>
      <c r="O40" s="21"/>
      <c r="P40" s="9"/>
    </row>
    <row r="41" spans="1:46">
      <c r="A41" s="5" t="s">
        <v>182</v>
      </c>
      <c r="B41" s="21">
        <f t="shared" si="4"/>
        <v>113234576000</v>
      </c>
      <c r="C41" s="21">
        <f t="shared" si="5"/>
        <v>140224176000</v>
      </c>
      <c r="D41" s="21">
        <f t="shared" si="5"/>
        <v>115307835000</v>
      </c>
      <c r="E41" s="21">
        <f t="shared" si="5"/>
        <v>96145248000</v>
      </c>
      <c r="F41" s="21">
        <f t="shared" si="6"/>
        <v>102143448000</v>
      </c>
      <c r="G41" s="21">
        <f t="shared" si="7"/>
        <v>143528512000</v>
      </c>
      <c r="H41" s="21">
        <f t="shared" si="7"/>
        <v>129641254000</v>
      </c>
      <c r="I41" s="21">
        <f t="shared" si="7"/>
        <v>116385052000</v>
      </c>
      <c r="J41" s="21">
        <f t="shared" si="8"/>
        <v>101379783000</v>
      </c>
      <c r="K41" s="21"/>
      <c r="L41" s="21"/>
      <c r="M41" s="21"/>
      <c r="N41" s="21"/>
      <c r="O41" s="21"/>
      <c r="P41" s="9"/>
    </row>
    <row r="42" spans="1:46">
      <c r="A42" s="5" t="s">
        <v>181</v>
      </c>
      <c r="B42" s="21">
        <f t="shared" si="4"/>
        <v>109622336000</v>
      </c>
      <c r="C42" s="21">
        <f t="shared" si="5"/>
        <v>135313945000</v>
      </c>
      <c r="D42" s="21">
        <f t="shared" si="5"/>
        <v>110704458000</v>
      </c>
      <c r="E42" s="21">
        <f t="shared" si="5"/>
        <v>93852275000</v>
      </c>
      <c r="F42" s="21">
        <f t="shared" si="6"/>
        <v>98093623000</v>
      </c>
      <c r="G42" s="21">
        <f t="shared" si="7"/>
        <v>138581237000</v>
      </c>
      <c r="H42" s="21">
        <f t="shared" si="7"/>
        <v>125487488000</v>
      </c>
      <c r="I42" s="21">
        <f t="shared" si="7"/>
        <v>112660444000</v>
      </c>
      <c r="J42" s="21">
        <f t="shared" si="8"/>
        <v>97948614000</v>
      </c>
      <c r="K42" s="21"/>
      <c r="L42" s="21"/>
      <c r="M42" s="21"/>
      <c r="N42" s="21"/>
      <c r="O42" s="21"/>
      <c r="P42" s="9"/>
    </row>
    <row r="43" spans="1:46">
      <c r="A43" s="5" t="s">
        <v>180</v>
      </c>
      <c r="B43" s="21">
        <f t="shared" si="4"/>
        <v>85053000</v>
      </c>
      <c r="C43" s="21">
        <f t="shared" si="5"/>
        <v>72594000</v>
      </c>
      <c r="D43" s="21">
        <f t="shared" si="5"/>
        <v>103945000</v>
      </c>
      <c r="E43" s="21">
        <f t="shared" si="5"/>
        <v>67427000</v>
      </c>
      <c r="F43" s="21">
        <f t="shared" si="6"/>
        <v>136764000</v>
      </c>
      <c r="G43" s="21">
        <f t="shared" si="7"/>
        <v>96898000</v>
      </c>
      <c r="H43" s="21">
        <f t="shared" si="7"/>
        <v>146773000</v>
      </c>
      <c r="I43" s="21">
        <f t="shared" si="7"/>
        <v>109855000</v>
      </c>
      <c r="J43" s="21">
        <f t="shared" si="8"/>
        <v>132593000</v>
      </c>
      <c r="K43" s="21"/>
      <c r="L43" s="21"/>
      <c r="M43" s="21"/>
      <c r="N43" s="21"/>
      <c r="O43" s="21"/>
      <c r="P43" s="9"/>
    </row>
    <row r="44" spans="1:46">
      <c r="A44" s="5" t="s">
        <v>179</v>
      </c>
      <c r="B44" s="21">
        <f t="shared" si="4"/>
        <v>301506000</v>
      </c>
      <c r="C44" s="21">
        <f t="shared" si="5"/>
        <v>224984000</v>
      </c>
      <c r="D44" s="21">
        <f t="shared" si="5"/>
        <v>275084000</v>
      </c>
      <c r="E44" s="21">
        <f t="shared" si="5"/>
        <v>201561000</v>
      </c>
      <c r="F44" s="21">
        <f t="shared" si="6"/>
        <v>322821000</v>
      </c>
      <c r="G44" s="21">
        <f t="shared" si="7"/>
        <v>237472000</v>
      </c>
      <c r="H44" s="21">
        <f t="shared" si="7"/>
        <v>289627000</v>
      </c>
      <c r="I44" s="21">
        <f t="shared" si="7"/>
        <v>281945000</v>
      </c>
      <c r="J44" s="21">
        <f t="shared" si="8"/>
        <v>248784000</v>
      </c>
      <c r="K44" s="21"/>
      <c r="L44" s="21"/>
      <c r="M44" s="21"/>
      <c r="N44" s="21"/>
      <c r="O44" s="21"/>
      <c r="P44" s="9"/>
    </row>
    <row r="45" spans="1:46">
      <c r="A45" s="5" t="s">
        <v>178</v>
      </c>
      <c r="B45" s="21">
        <f t="shared" si="4"/>
        <v>1206625000</v>
      </c>
      <c r="C45" s="21">
        <f t="shared" si="5"/>
        <v>1237996000</v>
      </c>
      <c r="D45" s="21">
        <f t="shared" si="5"/>
        <v>1185231000</v>
      </c>
      <c r="E45" s="21">
        <f t="shared" si="5"/>
        <v>952464000</v>
      </c>
      <c r="F45" s="21">
        <f t="shared" si="6"/>
        <v>850138000</v>
      </c>
      <c r="G45" s="21">
        <f t="shared" si="7"/>
        <v>931455000</v>
      </c>
      <c r="H45" s="21">
        <f t="shared" si="7"/>
        <v>1080891000</v>
      </c>
      <c r="I45" s="21">
        <f t="shared" si="7"/>
        <v>969595000</v>
      </c>
      <c r="J45" s="21">
        <f t="shared" si="8"/>
        <v>846458000</v>
      </c>
      <c r="K45" s="21"/>
      <c r="L45" s="21"/>
      <c r="M45" s="21"/>
      <c r="N45" s="21"/>
      <c r="O45" s="21"/>
      <c r="P45" s="9"/>
    </row>
    <row r="46" spans="1:46">
      <c r="A46" s="5" t="s">
        <v>101</v>
      </c>
      <c r="B46" s="21">
        <f t="shared" si="4"/>
        <v>-244218000</v>
      </c>
      <c r="C46" s="21">
        <f t="shared" si="5"/>
        <v>380056000</v>
      </c>
      <c r="D46" s="21">
        <f t="shared" si="5"/>
        <v>154461000</v>
      </c>
      <c r="E46" s="21">
        <f t="shared" si="5"/>
        <v>-1419210000</v>
      </c>
      <c r="F46" s="21">
        <f t="shared" si="6"/>
        <v>298883000</v>
      </c>
      <c r="G46" s="21">
        <f t="shared" si="7"/>
        <v>442657000</v>
      </c>
      <c r="H46" s="21">
        <f t="shared" si="7"/>
        <v>-605635000</v>
      </c>
      <c r="I46" s="21">
        <f t="shared" si="7"/>
        <v>-337875000</v>
      </c>
      <c r="J46" s="21">
        <f t="shared" si="8"/>
        <v>-202689000</v>
      </c>
      <c r="K46" s="21"/>
      <c r="L46" s="21"/>
      <c r="M46" s="21"/>
      <c r="N46" s="21"/>
      <c r="O46" s="21"/>
      <c r="P46" s="9"/>
    </row>
    <row r="47" spans="1:46">
      <c r="A47" s="5" t="s">
        <v>214</v>
      </c>
      <c r="B47" s="21">
        <f t="shared" si="4"/>
        <v>2263274000</v>
      </c>
      <c r="C47" s="21">
        <f t="shared" si="5"/>
        <v>2994601000</v>
      </c>
      <c r="D47" s="21">
        <f t="shared" si="5"/>
        <v>2884656000</v>
      </c>
      <c r="E47" s="21">
        <f t="shared" si="5"/>
        <v>2490731000</v>
      </c>
      <c r="F47" s="21">
        <f t="shared" si="6"/>
        <v>2441219000</v>
      </c>
      <c r="G47" s="21">
        <f t="shared" si="7"/>
        <v>3238793000</v>
      </c>
      <c r="H47" s="21">
        <f t="shared" si="7"/>
        <v>3242110000</v>
      </c>
      <c r="I47" s="21">
        <f t="shared" si="7"/>
        <v>2701088000</v>
      </c>
      <c r="J47" s="21">
        <f t="shared" si="8"/>
        <v>2406023000</v>
      </c>
      <c r="K47" s="21"/>
      <c r="L47" s="21"/>
      <c r="M47" s="21"/>
      <c r="N47" s="21"/>
      <c r="O47" s="21"/>
      <c r="P47" s="9"/>
    </row>
    <row r="48" spans="1:46">
      <c r="A48" s="5" t="s">
        <v>176</v>
      </c>
      <c r="B48" s="21">
        <f t="shared" si="4"/>
        <v>0</v>
      </c>
      <c r="C48" s="21">
        <f t="shared" si="5"/>
        <v>0</v>
      </c>
      <c r="D48" s="21">
        <f t="shared" si="5"/>
        <v>0</v>
      </c>
      <c r="E48" s="21">
        <f t="shared" si="5"/>
        <v>0</v>
      </c>
      <c r="F48" s="21">
        <f t="shared" si="6"/>
        <v>0</v>
      </c>
      <c r="G48" s="21">
        <f t="shared" si="7"/>
        <v>0</v>
      </c>
      <c r="H48" s="21">
        <f t="shared" si="7"/>
        <v>0</v>
      </c>
      <c r="I48" s="21">
        <f t="shared" si="7"/>
        <v>0</v>
      </c>
      <c r="J48" s="21">
        <f t="shared" si="8"/>
        <v>0</v>
      </c>
      <c r="K48" s="21"/>
      <c r="L48" s="21"/>
      <c r="M48" s="21"/>
      <c r="N48" s="21"/>
      <c r="O48" s="21"/>
    </row>
    <row r="49" spans="1:15">
      <c r="A49" s="5" t="s">
        <v>175</v>
      </c>
      <c r="B49" s="21">
        <f t="shared" si="4"/>
        <v>-438367000</v>
      </c>
      <c r="C49" s="21">
        <f t="shared" si="5"/>
        <v>246665000</v>
      </c>
      <c r="D49" s="21">
        <f t="shared" si="5"/>
        <v>31474000</v>
      </c>
      <c r="E49" s="21">
        <f t="shared" si="5"/>
        <v>-197620000</v>
      </c>
      <c r="F49" s="21">
        <f t="shared" si="6"/>
        <v>183080000</v>
      </c>
      <c r="G49" s="21">
        <f t="shared" si="7"/>
        <v>171936000</v>
      </c>
      <c r="H49" s="21">
        <f t="shared" si="7"/>
        <v>-264519000</v>
      </c>
      <c r="I49" s="21">
        <f t="shared" si="7"/>
        <v>32782000</v>
      </c>
      <c r="J49" s="21">
        <f t="shared" si="8"/>
        <v>-10312000</v>
      </c>
      <c r="K49" s="21"/>
      <c r="L49" s="21"/>
      <c r="M49" s="21"/>
      <c r="N49" s="21"/>
      <c r="O49" s="21"/>
    </row>
    <row r="50" spans="1:15">
      <c r="A50" s="5" t="s">
        <v>174</v>
      </c>
      <c r="B50" s="21">
        <f t="shared" si="4"/>
        <v>138257000</v>
      </c>
      <c r="C50" s="21">
        <f t="shared" si="5"/>
        <v>198953000</v>
      </c>
      <c r="D50" s="21">
        <f t="shared" si="5"/>
        <v>77857000</v>
      </c>
      <c r="E50" s="21">
        <f t="shared" si="5"/>
        <v>-397825000</v>
      </c>
      <c r="F50" s="21">
        <f t="shared" si="6"/>
        <v>-545100000</v>
      </c>
      <c r="G50" s="21">
        <f t="shared" si="7"/>
        <v>-18208000</v>
      </c>
      <c r="H50" s="21">
        <f t="shared" si="7"/>
        <v>41936000</v>
      </c>
      <c r="I50" s="21">
        <f t="shared" si="7"/>
        <v>12967000</v>
      </c>
      <c r="J50" s="21">
        <f t="shared" si="8"/>
        <v>-6431000</v>
      </c>
      <c r="K50" s="21"/>
      <c r="L50" s="21"/>
      <c r="M50" s="21"/>
      <c r="N50" s="21"/>
      <c r="O50" s="21"/>
    </row>
    <row r="51" spans="1:15">
      <c r="A51" s="5" t="s">
        <v>173</v>
      </c>
      <c r="B51" s="21">
        <f t="shared" si="4"/>
        <v>17029000</v>
      </c>
      <c r="C51" s="21">
        <f t="shared" si="5"/>
        <v>220010000</v>
      </c>
      <c r="D51" s="21">
        <f t="shared" si="5"/>
        <v>8595000</v>
      </c>
      <c r="E51" s="21">
        <f t="shared" si="5"/>
        <v>24842000</v>
      </c>
      <c r="F51" s="21">
        <f t="shared" si="6"/>
        <v>-1005000</v>
      </c>
      <c r="G51" s="21">
        <f t="shared" si="7"/>
        <v>18922000</v>
      </c>
      <c r="H51" s="21">
        <f t="shared" si="7"/>
        <v>801000</v>
      </c>
      <c r="I51" s="21">
        <f t="shared" si="7"/>
        <v>-15689000</v>
      </c>
      <c r="J51" s="21">
        <f t="shared" si="8"/>
        <v>-1397000</v>
      </c>
      <c r="K51" s="21"/>
      <c r="L51" s="21"/>
      <c r="M51" s="21"/>
      <c r="N51" s="21"/>
      <c r="O51" s="21"/>
    </row>
    <row r="52" spans="1:15">
      <c r="A52" s="5" t="s">
        <v>172</v>
      </c>
      <c r="B52" s="21">
        <f t="shared" si="4"/>
        <v>0</v>
      </c>
      <c r="C52" s="21">
        <f t="shared" si="5"/>
        <v>0</v>
      </c>
      <c r="D52" s="21">
        <f t="shared" si="5"/>
        <v>0</v>
      </c>
      <c r="E52" s="21">
        <f t="shared" si="5"/>
        <v>0</v>
      </c>
      <c r="F52" s="21">
        <f t="shared" si="6"/>
        <v>0</v>
      </c>
      <c r="G52" s="21">
        <f t="shared" si="7"/>
        <v>0</v>
      </c>
      <c r="H52" s="21">
        <f t="shared" si="7"/>
        <v>0</v>
      </c>
      <c r="I52" s="21">
        <f t="shared" si="7"/>
        <v>0</v>
      </c>
      <c r="J52" s="21">
        <f t="shared" si="8"/>
        <v>0</v>
      </c>
      <c r="K52" s="21"/>
      <c r="L52" s="21"/>
      <c r="M52" s="21"/>
      <c r="N52" s="21"/>
      <c r="O52" s="21"/>
    </row>
    <row r="53" spans="1:15">
      <c r="A53" s="5" t="s">
        <v>171</v>
      </c>
      <c r="B53" s="21">
        <f t="shared" si="4"/>
        <v>4758479000</v>
      </c>
      <c r="C53" s="21">
        <f t="shared" si="5"/>
        <v>8475859000</v>
      </c>
      <c r="D53" s="21">
        <f t="shared" si="5"/>
        <v>6909963000</v>
      </c>
      <c r="E53" s="21">
        <f t="shared" si="5"/>
        <v>4246200000</v>
      </c>
      <c r="F53" s="21">
        <f t="shared" si="6"/>
        <v>3434886000</v>
      </c>
      <c r="G53" s="21">
        <f t="shared" si="7"/>
        <v>8695493000</v>
      </c>
      <c r="H53" s="21">
        <f t="shared" si="7"/>
        <v>5655576000</v>
      </c>
      <c r="I53" s="21">
        <f t="shared" si="7"/>
        <v>3843975000</v>
      </c>
      <c r="J53" s="21">
        <f t="shared" si="8"/>
        <v>3677307000</v>
      </c>
      <c r="K53" s="21"/>
      <c r="L53" s="21"/>
      <c r="M53" s="21"/>
      <c r="N53" s="21"/>
      <c r="O53" s="21"/>
    </row>
    <row r="54" spans="1:15">
      <c r="A54" s="5" t="s">
        <v>170</v>
      </c>
      <c r="B54" s="21">
        <f t="shared" si="4"/>
        <v>4372000</v>
      </c>
      <c r="C54" s="21">
        <f t="shared" si="5"/>
        <v>-133052000</v>
      </c>
      <c r="D54" s="21">
        <f t="shared" si="5"/>
        <v>206900000</v>
      </c>
      <c r="E54" s="21">
        <f t="shared" si="5"/>
        <v>35739000</v>
      </c>
      <c r="F54" s="21">
        <f t="shared" si="6"/>
        <v>13974000</v>
      </c>
      <c r="G54" s="21">
        <f t="shared" si="7"/>
        <v>53427000</v>
      </c>
      <c r="H54" s="21">
        <f t="shared" si="7"/>
        <v>12000000</v>
      </c>
      <c r="I54" s="21">
        <f t="shared" si="7"/>
        <v>48826000</v>
      </c>
      <c r="J54" s="21">
        <f t="shared" si="8"/>
        <v>6979000</v>
      </c>
      <c r="K54" s="21"/>
      <c r="L54" s="21"/>
      <c r="M54" s="21"/>
      <c r="N54" s="21"/>
      <c r="O54" s="21"/>
    </row>
    <row r="55" spans="1:15">
      <c r="A55" s="5" t="s">
        <v>169</v>
      </c>
      <c r="B55" s="21">
        <f t="shared" si="4"/>
        <v>4885000</v>
      </c>
      <c r="C55" s="21">
        <f t="shared" si="5"/>
        <v>30154000</v>
      </c>
      <c r="D55" s="21">
        <f t="shared" si="5"/>
        <v>14027000</v>
      </c>
      <c r="E55" s="21">
        <f t="shared" si="5"/>
        <v>16275000</v>
      </c>
      <c r="F55" s="21">
        <f t="shared" si="6"/>
        <v>5935000</v>
      </c>
      <c r="G55" s="21">
        <f t="shared" si="7"/>
        <v>25657000</v>
      </c>
      <c r="H55" s="21">
        <f t="shared" si="7"/>
        <v>2417000</v>
      </c>
      <c r="I55" s="21">
        <f t="shared" si="7"/>
        <v>-15603000</v>
      </c>
      <c r="J55" s="21">
        <f t="shared" si="8"/>
        <v>18110000</v>
      </c>
      <c r="K55" s="21"/>
      <c r="L55" s="21"/>
      <c r="M55" s="21"/>
      <c r="N55" s="21"/>
      <c r="O55" s="21"/>
    </row>
    <row r="56" spans="1:15">
      <c r="A56" s="5" t="s">
        <v>168</v>
      </c>
      <c r="B56" s="21">
        <f t="shared" si="4"/>
        <v>0</v>
      </c>
      <c r="C56" s="21">
        <f t="shared" ref="C56:E68" si="9">C20-D20</f>
        <v>0</v>
      </c>
      <c r="D56" s="21">
        <f t="shared" si="9"/>
        <v>0</v>
      </c>
      <c r="E56" s="21">
        <f t="shared" si="9"/>
        <v>0</v>
      </c>
      <c r="F56" s="21">
        <f t="shared" si="6"/>
        <v>0</v>
      </c>
      <c r="G56" s="21">
        <f t="shared" ref="G56:I68" si="10">G20-H20</f>
        <v>0</v>
      </c>
      <c r="H56" s="21">
        <f t="shared" si="10"/>
        <v>0</v>
      </c>
      <c r="I56" s="21">
        <f t="shared" si="10"/>
        <v>0</v>
      </c>
      <c r="J56" s="21">
        <f t="shared" si="8"/>
        <v>0</v>
      </c>
      <c r="K56" s="21"/>
      <c r="L56" s="21"/>
      <c r="M56" s="21"/>
      <c r="N56" s="21"/>
      <c r="O56" s="21"/>
    </row>
    <row r="57" spans="1:15">
      <c r="A57" s="5" t="s">
        <v>167</v>
      </c>
      <c r="B57" s="21">
        <f t="shared" si="4"/>
        <v>4757966000</v>
      </c>
      <c r="C57" s="21">
        <f t="shared" si="9"/>
        <v>8312653000</v>
      </c>
      <c r="D57" s="21">
        <f t="shared" si="9"/>
        <v>7102836000</v>
      </c>
      <c r="E57" s="21">
        <f t="shared" si="9"/>
        <v>4265664000</v>
      </c>
      <c r="F57" s="21">
        <f t="shared" si="6"/>
        <v>3442925000</v>
      </c>
      <c r="G57" s="21">
        <f t="shared" si="10"/>
        <v>8723263000</v>
      </c>
      <c r="H57" s="21">
        <f t="shared" si="10"/>
        <v>5665159000</v>
      </c>
      <c r="I57" s="21">
        <f t="shared" si="10"/>
        <v>3908404000</v>
      </c>
      <c r="J57" s="21">
        <f t="shared" si="8"/>
        <v>3666176000</v>
      </c>
      <c r="K57" s="21"/>
      <c r="L57" s="21"/>
      <c r="M57" s="21"/>
      <c r="N57" s="21"/>
      <c r="O57" s="21"/>
    </row>
    <row r="58" spans="1:15">
      <c r="A58" s="5" t="s">
        <v>166</v>
      </c>
      <c r="B58" s="21">
        <f t="shared" si="4"/>
        <v>564206000</v>
      </c>
      <c r="C58" s="21">
        <f t="shared" si="9"/>
        <v>790132000</v>
      </c>
      <c r="D58" s="21">
        <f t="shared" si="9"/>
        <v>765561000</v>
      </c>
      <c r="E58" s="21">
        <f t="shared" si="9"/>
        <v>231241000</v>
      </c>
      <c r="F58" s="21">
        <f t="shared" si="6"/>
        <v>318831000</v>
      </c>
      <c r="G58" s="21">
        <f t="shared" si="10"/>
        <v>446526000</v>
      </c>
      <c r="H58" s="21">
        <f t="shared" si="10"/>
        <v>739200000</v>
      </c>
      <c r="I58" s="21">
        <f t="shared" si="10"/>
        <v>281868000</v>
      </c>
      <c r="J58" s="21">
        <f t="shared" si="8"/>
        <v>411519000</v>
      </c>
      <c r="K58" s="21"/>
      <c r="L58" s="21"/>
      <c r="M58" s="21"/>
      <c r="N58" s="21"/>
      <c r="O58" s="21"/>
    </row>
    <row r="59" spans="1:15">
      <c r="A59" s="5" t="s">
        <v>165</v>
      </c>
      <c r="B59" s="21">
        <f t="shared" si="4"/>
        <v>4193760000</v>
      </c>
      <c r="C59" s="21">
        <f t="shared" si="9"/>
        <v>7522521000</v>
      </c>
      <c r="D59" s="21">
        <f t="shared" si="9"/>
        <v>6337275000</v>
      </c>
      <c r="E59" s="21">
        <f t="shared" si="9"/>
        <v>4034423000</v>
      </c>
      <c r="F59" s="21">
        <f t="shared" si="6"/>
        <v>3124094000</v>
      </c>
      <c r="G59" s="21">
        <f t="shared" si="10"/>
        <v>8276737000</v>
      </c>
      <c r="H59" s="21">
        <f t="shared" si="10"/>
        <v>4925959000</v>
      </c>
      <c r="I59" s="21">
        <f t="shared" si="10"/>
        <v>3626536000</v>
      </c>
      <c r="J59" s="21">
        <f t="shared" si="8"/>
        <v>3254657000</v>
      </c>
      <c r="K59" s="21"/>
      <c r="L59" s="21"/>
      <c r="M59" s="21"/>
      <c r="N59" s="21"/>
      <c r="O59" s="21"/>
    </row>
    <row r="60" spans="1:15">
      <c r="A60" s="12" t="s">
        <v>164</v>
      </c>
      <c r="B60" s="22">
        <f t="shared" si="4"/>
        <v>4184884000</v>
      </c>
      <c r="C60" s="22">
        <f t="shared" si="9"/>
        <v>7555481000</v>
      </c>
      <c r="D60" s="22">
        <f t="shared" si="9"/>
        <v>6323683000</v>
      </c>
      <c r="E60" s="22">
        <f t="shared" si="9"/>
        <v>4032659000</v>
      </c>
      <c r="F60" s="22">
        <f t="shared" si="6"/>
        <v>3128370000</v>
      </c>
      <c r="G60" s="22">
        <f t="shared" si="10"/>
        <v>8277175000</v>
      </c>
      <c r="H60" s="22">
        <f t="shared" si="10"/>
        <v>4924274000</v>
      </c>
      <c r="I60" s="22">
        <f t="shared" si="10"/>
        <v>3615836000</v>
      </c>
      <c r="J60" s="22">
        <f t="shared" si="8"/>
        <v>3255787000</v>
      </c>
      <c r="K60" s="22"/>
      <c r="L60" s="22"/>
      <c r="M60" s="22"/>
      <c r="N60" s="22"/>
      <c r="O60" s="22"/>
    </row>
    <row r="61" spans="1:15">
      <c r="A61" s="5" t="s">
        <v>163</v>
      </c>
      <c r="B61" s="21">
        <f t="shared" si="4"/>
        <v>8876000</v>
      </c>
      <c r="C61" s="21">
        <f t="shared" si="9"/>
        <v>-32960000</v>
      </c>
      <c r="D61" s="21">
        <f t="shared" si="9"/>
        <v>13592000</v>
      </c>
      <c r="E61" s="21">
        <f t="shared" si="9"/>
        <v>1764000</v>
      </c>
      <c r="F61" s="21">
        <f t="shared" si="6"/>
        <v>-4276000</v>
      </c>
      <c r="G61" s="21">
        <f t="shared" si="10"/>
        <v>-438000</v>
      </c>
      <c r="H61" s="21">
        <f t="shared" si="10"/>
        <v>1685000</v>
      </c>
      <c r="I61" s="21">
        <f t="shared" si="10"/>
        <v>10700000</v>
      </c>
      <c r="J61" s="21">
        <f t="shared" si="8"/>
        <v>-1130000</v>
      </c>
      <c r="K61" s="21"/>
      <c r="L61" s="21"/>
      <c r="M61" s="21"/>
      <c r="N61" s="21"/>
      <c r="O61" s="21"/>
    </row>
    <row r="62" spans="1:15">
      <c r="A62" s="5" t="s">
        <v>162</v>
      </c>
      <c r="B62" s="21">
        <f t="shared" si="4"/>
        <v>0</v>
      </c>
      <c r="C62" s="21">
        <f t="shared" si="9"/>
        <v>0</v>
      </c>
      <c r="D62" s="21">
        <f t="shared" si="9"/>
        <v>0</v>
      </c>
      <c r="E62" s="21">
        <f t="shared" si="9"/>
        <v>0</v>
      </c>
      <c r="F62" s="21">
        <f t="shared" si="6"/>
        <v>0</v>
      </c>
      <c r="G62" s="21">
        <f t="shared" si="10"/>
        <v>0</v>
      </c>
      <c r="H62" s="21">
        <f t="shared" si="10"/>
        <v>0</v>
      </c>
      <c r="I62" s="21">
        <f t="shared" si="10"/>
        <v>0</v>
      </c>
      <c r="J62" s="21">
        <f t="shared" si="8"/>
        <v>0</v>
      </c>
      <c r="K62" s="21"/>
      <c r="L62" s="21"/>
      <c r="M62" s="21"/>
      <c r="N62" s="21"/>
      <c r="O62" s="21"/>
    </row>
    <row r="63" spans="1:15" s="1" customFormat="1">
      <c r="A63" s="13" t="s">
        <v>161</v>
      </c>
      <c r="B63" s="13">
        <f t="shared" si="4"/>
        <v>0.21</v>
      </c>
      <c r="C63" s="13">
        <f t="shared" si="9"/>
        <v>0.38</v>
      </c>
      <c r="D63" s="13">
        <f t="shared" si="9"/>
        <v>0.32000000000000006</v>
      </c>
      <c r="E63" s="13">
        <f t="shared" si="9"/>
        <v>0.19999999999999998</v>
      </c>
      <c r="F63" s="13">
        <f t="shared" si="6"/>
        <v>0.16</v>
      </c>
      <c r="G63" s="13">
        <f t="shared" si="10"/>
        <v>0.43000000000000005</v>
      </c>
      <c r="H63" s="13">
        <f t="shared" si="10"/>
        <v>0.24</v>
      </c>
      <c r="I63" s="13">
        <f t="shared" si="10"/>
        <v>0.18999999999999997</v>
      </c>
      <c r="J63" s="13">
        <f t="shared" si="8"/>
        <v>0.16</v>
      </c>
      <c r="K63" s="13"/>
      <c r="L63" s="13"/>
      <c r="M63" s="13"/>
      <c r="N63" s="13"/>
      <c r="O63" s="13"/>
    </row>
    <row r="64" spans="1:15" s="1" customFormat="1">
      <c r="A64" s="13" t="s">
        <v>160</v>
      </c>
      <c r="B64" s="13">
        <f t="shared" si="4"/>
        <v>0.21</v>
      </c>
      <c r="C64" s="13">
        <f t="shared" si="9"/>
        <v>0.38</v>
      </c>
      <c r="D64" s="13">
        <f t="shared" si="9"/>
        <v>0.32000000000000006</v>
      </c>
      <c r="E64" s="13">
        <f t="shared" si="9"/>
        <v>0.19999999999999998</v>
      </c>
      <c r="F64" s="13">
        <f t="shared" si="6"/>
        <v>0.16</v>
      </c>
      <c r="G64" s="13">
        <f t="shared" si="10"/>
        <v>0.43000000000000005</v>
      </c>
      <c r="H64" s="13">
        <f t="shared" si="10"/>
        <v>0.24</v>
      </c>
      <c r="I64" s="13">
        <f t="shared" si="10"/>
        <v>0.18999999999999997</v>
      </c>
      <c r="J64" s="13">
        <f t="shared" si="8"/>
        <v>0.16</v>
      </c>
      <c r="K64" s="13"/>
      <c r="L64" s="13"/>
      <c r="M64" s="13"/>
      <c r="N64" s="13"/>
      <c r="O64" s="13"/>
    </row>
    <row r="65" spans="1:15">
      <c r="A65" s="5" t="s">
        <v>159</v>
      </c>
      <c r="B65" s="21">
        <f t="shared" si="4"/>
        <v>918795000</v>
      </c>
      <c r="C65" s="21">
        <f t="shared" si="9"/>
        <v>-358110000</v>
      </c>
      <c r="D65" s="21">
        <f t="shared" si="9"/>
        <v>-193947000</v>
      </c>
      <c r="E65" s="21">
        <f t="shared" si="9"/>
        <v>779785000</v>
      </c>
      <c r="F65" s="21">
        <f t="shared" si="6"/>
        <v>9171000</v>
      </c>
      <c r="G65" s="21">
        <f t="shared" si="10"/>
        <v>450987000</v>
      </c>
      <c r="H65" s="21">
        <f t="shared" si="10"/>
        <v>198740000</v>
      </c>
      <c r="I65" s="21">
        <f t="shared" si="10"/>
        <v>8269000</v>
      </c>
      <c r="J65" s="21">
        <f t="shared" si="8"/>
        <v>448344000</v>
      </c>
      <c r="K65" s="21"/>
      <c r="L65" s="21"/>
      <c r="M65" s="21"/>
      <c r="N65" s="21"/>
      <c r="O65" s="21"/>
    </row>
    <row r="66" spans="1:15">
      <c r="A66" s="5" t="s">
        <v>158</v>
      </c>
      <c r="B66" s="21">
        <f t="shared" si="4"/>
        <v>5112555000</v>
      </c>
      <c r="C66" s="21">
        <f t="shared" si="9"/>
        <v>7164411000</v>
      </c>
      <c r="D66" s="21">
        <f t="shared" si="9"/>
        <v>6143328000</v>
      </c>
      <c r="E66" s="21">
        <f t="shared" si="9"/>
        <v>4814208000</v>
      </c>
      <c r="F66" s="21">
        <f t="shared" si="6"/>
        <v>3133265000</v>
      </c>
      <c r="G66" s="21">
        <f t="shared" si="10"/>
        <v>8727724000</v>
      </c>
      <c r="H66" s="21">
        <f t="shared" si="10"/>
        <v>5124699000</v>
      </c>
      <c r="I66" s="21">
        <f t="shared" si="10"/>
        <v>3634805000</v>
      </c>
      <c r="J66" s="21">
        <f t="shared" si="8"/>
        <v>3703001000</v>
      </c>
      <c r="K66" s="21"/>
      <c r="L66" s="21"/>
      <c r="M66" s="21"/>
      <c r="N66" s="21"/>
      <c r="O66" s="21"/>
    </row>
    <row r="67" spans="1:15">
      <c r="A67" s="5" t="s">
        <v>157</v>
      </c>
      <c r="B67" s="21">
        <f t="shared" si="4"/>
        <v>5103679000</v>
      </c>
      <c r="C67" s="21">
        <f t="shared" si="9"/>
        <v>7197371000</v>
      </c>
      <c r="D67" s="21">
        <f t="shared" si="9"/>
        <v>6129736000</v>
      </c>
      <c r="E67" s="21">
        <f t="shared" si="9"/>
        <v>4812444000</v>
      </c>
      <c r="F67" s="21">
        <f t="shared" si="6"/>
        <v>3137541000</v>
      </c>
      <c r="G67" s="21">
        <f t="shared" si="10"/>
        <v>8728162000</v>
      </c>
      <c r="H67" s="21">
        <f t="shared" si="10"/>
        <v>5123014000</v>
      </c>
      <c r="I67" s="21">
        <f t="shared" si="10"/>
        <v>3624105000</v>
      </c>
      <c r="J67" s="21">
        <f t="shared" si="8"/>
        <v>3704131000</v>
      </c>
      <c r="K67" s="21"/>
      <c r="L67" s="21"/>
      <c r="M67" s="21"/>
      <c r="N67" s="21"/>
      <c r="O67" s="21"/>
    </row>
    <row r="68" spans="1:15">
      <c r="A68" s="5" t="s">
        <v>156</v>
      </c>
      <c r="B68" s="21">
        <f t="shared" si="4"/>
        <v>8876000</v>
      </c>
      <c r="C68" s="21">
        <f t="shared" si="9"/>
        <v>-32960000</v>
      </c>
      <c r="D68" s="21">
        <f t="shared" si="9"/>
        <v>13592000</v>
      </c>
      <c r="E68" s="21">
        <f t="shared" si="9"/>
        <v>1764000</v>
      </c>
      <c r="F68" s="21">
        <f t="shared" si="6"/>
        <v>-4276000</v>
      </c>
      <c r="G68" s="21">
        <f t="shared" si="10"/>
        <v>-438000</v>
      </c>
      <c r="H68" s="21">
        <f t="shared" si="10"/>
        <v>1685000</v>
      </c>
      <c r="I68" s="21">
        <f t="shared" si="10"/>
        <v>10700000</v>
      </c>
      <c r="J68" s="21">
        <f t="shared" si="8"/>
        <v>-1130000</v>
      </c>
      <c r="K68" s="21"/>
      <c r="L68" s="21"/>
      <c r="M68" s="21"/>
      <c r="N68" s="21"/>
      <c r="O68" s="21"/>
    </row>
    <row r="69" spans="1: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5">
      <c r="A70" s="5" t="s">
        <v>209</v>
      </c>
      <c r="B70" s="19">
        <f t="shared" ref="B70:J70" si="11">(B40-B42)/B40</f>
        <v>7.6382033143647152E-2</v>
      </c>
      <c r="C70" s="19">
        <f t="shared" si="11"/>
        <v>8.2752403066444685E-2</v>
      </c>
      <c r="D70" s="19">
        <f t="shared" si="11"/>
        <v>9.2897850719073194E-2</v>
      </c>
      <c r="E70" s="19">
        <f t="shared" si="11"/>
        <v>6.9737543391330384E-2</v>
      </c>
      <c r="F70" s="19">
        <f t="shared" si="11"/>
        <v>7.3614402766607093E-2</v>
      </c>
      <c r="G70" s="19">
        <f t="shared" si="11"/>
        <v>8.0815824456041074E-2</v>
      </c>
      <c r="H70" s="19">
        <f t="shared" si="11"/>
        <v>7.6100399776981534E-2</v>
      </c>
      <c r="I70" s="19">
        <f t="shared" si="11"/>
        <v>6.2708770794153684E-2</v>
      </c>
      <c r="J70" s="19">
        <f t="shared" si="11"/>
        <v>6.7710733740499976E-2</v>
      </c>
      <c r="K70" s="19"/>
      <c r="L70" s="19"/>
      <c r="M70" s="19"/>
      <c r="N70" s="19"/>
      <c r="O70" s="19"/>
    </row>
    <row r="71" spans="1:15">
      <c r="A71" s="5" t="s">
        <v>215</v>
      </c>
      <c r="B71" s="19">
        <f t="shared" ref="B71:J71" si="12">B59/B39</f>
        <v>3.533433263713244E-2</v>
      </c>
      <c r="C71" s="19">
        <f t="shared" si="12"/>
        <v>5.0992632800205516E-2</v>
      </c>
      <c r="D71" s="19">
        <f t="shared" si="12"/>
        <v>5.1927048620610067E-2</v>
      </c>
      <c r="E71" s="19">
        <f t="shared" si="12"/>
        <v>3.9989145185649666E-2</v>
      </c>
      <c r="F71" s="19">
        <f t="shared" si="12"/>
        <v>2.9503606834903624E-2</v>
      </c>
      <c r="G71" s="19">
        <f t="shared" si="12"/>
        <v>5.4898093278956513E-2</v>
      </c>
      <c r="H71" s="19">
        <f t="shared" si="12"/>
        <v>3.6267293443749384E-2</v>
      </c>
      <c r="I71" s="19">
        <f t="shared" si="12"/>
        <v>3.0171373949132076E-2</v>
      </c>
      <c r="J71" s="19">
        <f t="shared" si="12"/>
        <v>3.0978302423517148E-2</v>
      </c>
      <c r="K71" s="19"/>
      <c r="L71" s="19"/>
      <c r="M71" s="19"/>
      <c r="N71" s="19"/>
      <c r="O71" s="19"/>
    </row>
    <row r="72" spans="1:15">
      <c r="A72" s="14" t="s">
        <v>216</v>
      </c>
      <c r="B72" s="23">
        <f t="shared" ref="B72:J72" si="13">B40/F40-1</f>
        <v>0.12087633275157383</v>
      </c>
      <c r="C72" s="23">
        <f t="shared" si="13"/>
        <v>-2.1515211244686028E-2</v>
      </c>
      <c r="D72" s="23">
        <f t="shared" si="13"/>
        <v>-0.10146858139543924</v>
      </c>
      <c r="E72" s="23">
        <f t="shared" si="13"/>
        <v>-0.16065133313843805</v>
      </c>
      <c r="F72" s="23">
        <f t="shared" si="13"/>
        <v>7.8626934255143777E-3</v>
      </c>
      <c r="G72" s="23" t="e">
        <f t="shared" si="13"/>
        <v>#DIV/0!</v>
      </c>
      <c r="H72" s="23" t="e">
        <f t="shared" si="13"/>
        <v>#DIV/0!</v>
      </c>
      <c r="I72" s="23" t="e">
        <f t="shared" si="13"/>
        <v>#DIV/0!</v>
      </c>
      <c r="J72" s="23" t="e">
        <f t="shared" si="13"/>
        <v>#DIV/0!</v>
      </c>
      <c r="K72" s="23"/>
      <c r="L72" s="23"/>
      <c r="M72" s="23"/>
      <c r="N72" s="23"/>
      <c r="O72" s="23"/>
    </row>
    <row r="73" spans="1:15">
      <c r="A73" s="14" t="s">
        <v>217</v>
      </c>
      <c r="B73" s="23">
        <f t="shared" ref="B73:J73" si="14">B59/F59-1</f>
        <v>0.34239238640066527</v>
      </c>
      <c r="C73" s="23">
        <f t="shared" si="14"/>
        <v>-9.1124799543588209E-2</v>
      </c>
      <c r="D73" s="23">
        <f t="shared" si="14"/>
        <v>0.28650583571645649</v>
      </c>
      <c r="E73" s="23">
        <f t="shared" si="14"/>
        <v>0.11247289424398388</v>
      </c>
      <c r="F73" s="23">
        <f t="shared" si="14"/>
        <v>-4.0115747988190509E-2</v>
      </c>
      <c r="G73" s="23" t="e">
        <f t="shared" si="14"/>
        <v>#DIV/0!</v>
      </c>
      <c r="H73" s="23" t="e">
        <f t="shared" si="14"/>
        <v>#DIV/0!</v>
      </c>
      <c r="I73" s="23" t="e">
        <f t="shared" si="14"/>
        <v>#DIV/0!</v>
      </c>
      <c r="J73" s="23" t="e">
        <f t="shared" si="14"/>
        <v>#DIV/0!</v>
      </c>
      <c r="K73" s="23"/>
      <c r="L73" s="23"/>
      <c r="M73" s="23"/>
      <c r="N73" s="23"/>
      <c r="O73" s="23"/>
    </row>
    <row r="74" spans="1:1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2:1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2:1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2:1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2:1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2:1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2:1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2:1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2:1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2:1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2:1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2:1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2:1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2:1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2:1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2:1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95"/>
  <sheetViews>
    <sheetView workbookViewId="0">
      <pane xSplit="1" ySplit="2" topLeftCell="N74" activePane="bottomRight" state="frozen"/>
      <selection activeCell="P1" sqref="P1:P1048576"/>
      <selection pane="topRight" activeCell="P1" sqref="P1:P1048576"/>
      <selection pane="bottomLeft" activeCell="P1" sqref="P1:P1048576"/>
      <selection pane="bottomRight" activeCell="A83" sqref="A83"/>
    </sheetView>
  </sheetViews>
  <sheetFormatPr baseColWidth="10" defaultRowHeight="16"/>
  <cols>
    <col min="1" max="1" width="58.83203125" bestFit="1" customWidth="1"/>
    <col min="2" max="15" width="17.33203125" bestFit="1" customWidth="1"/>
    <col min="16" max="16" width="19.6640625" bestFit="1" customWidth="1"/>
    <col min="17" max="17" width="17" bestFit="1" customWidth="1"/>
    <col min="18" max="18" width="19" bestFit="1" customWidth="1"/>
  </cols>
  <sheetData>
    <row r="1" spans="1:18">
      <c r="A1" t="s">
        <v>0</v>
      </c>
      <c r="B1">
        <v>20240331</v>
      </c>
      <c r="C1" s="6">
        <v>20231231</v>
      </c>
      <c r="D1">
        <v>20230930</v>
      </c>
      <c r="E1">
        <v>20230630</v>
      </c>
      <c r="F1">
        <v>20230331</v>
      </c>
      <c r="G1" s="6">
        <v>20221231</v>
      </c>
      <c r="H1">
        <v>20220930</v>
      </c>
      <c r="I1">
        <v>20220630</v>
      </c>
      <c r="J1">
        <v>20220331</v>
      </c>
      <c r="K1" s="6">
        <v>20211231</v>
      </c>
      <c r="L1" s="6">
        <v>20201231</v>
      </c>
      <c r="M1" s="6">
        <v>20191231</v>
      </c>
      <c r="N1" s="6">
        <v>20181231</v>
      </c>
      <c r="O1" s="6">
        <v>20171231</v>
      </c>
      <c r="P1" s="15" t="s">
        <v>218</v>
      </c>
      <c r="Q1" s="15" t="s">
        <v>218</v>
      </c>
      <c r="R1" s="32" t="s">
        <v>219</v>
      </c>
    </row>
    <row r="2" spans="1:18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s="8" t="s">
        <v>221</v>
      </c>
      <c r="Q2" s="8" t="s">
        <v>227</v>
      </c>
      <c r="R2" s="8" t="s">
        <v>222</v>
      </c>
    </row>
    <row r="3" spans="1:18">
      <c r="A3" t="s">
        <v>155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8">
      <c r="A4" t="s">
        <v>154</v>
      </c>
      <c r="B4" s="2">
        <v>129681021000</v>
      </c>
      <c r="C4" s="2">
        <v>500495458000</v>
      </c>
      <c r="D4" s="2">
        <v>359677169000</v>
      </c>
      <c r="E4" s="2">
        <v>237390844000</v>
      </c>
      <c r="F4" s="2">
        <v>140440397000</v>
      </c>
      <c r="G4" s="2">
        <v>516357456000</v>
      </c>
      <c r="H4" s="2">
        <v>351733710000</v>
      </c>
      <c r="I4" s="2">
        <v>229891577000</v>
      </c>
      <c r="J4" s="2">
        <v>115960844000</v>
      </c>
      <c r="K4" s="2">
        <v>450521140000</v>
      </c>
      <c r="L4" s="2">
        <v>439888967000</v>
      </c>
      <c r="M4" s="2">
        <v>422177744000</v>
      </c>
      <c r="N4" s="2">
        <v>414230214000</v>
      </c>
      <c r="O4" s="2">
        <v>322632538000</v>
      </c>
      <c r="P4" s="9">
        <f t="shared" ref="P4:P13" si="0">SUM(K4:O4,G4,C4)</f>
        <v>3066303517000</v>
      </c>
      <c r="R4" s="18">
        <f t="shared" ref="R4:R13" si="1">SUM(K4:M4,G4,C4)</f>
        <v>2329440765000</v>
      </c>
    </row>
    <row r="5" spans="1:18">
      <c r="A5" t="s">
        <v>153</v>
      </c>
      <c r="B5" s="2">
        <v>1568898000</v>
      </c>
      <c r="C5" s="2">
        <v>5192596000</v>
      </c>
      <c r="D5" s="2">
        <v>3403581000</v>
      </c>
      <c r="E5" s="2">
        <v>2384156000</v>
      </c>
      <c r="F5" s="2">
        <v>1957431000</v>
      </c>
      <c r="G5" s="2">
        <v>3519849000</v>
      </c>
      <c r="H5" s="2">
        <v>2084025000</v>
      </c>
      <c r="I5" s="2">
        <v>2069536000</v>
      </c>
      <c r="J5" s="2">
        <v>589495000</v>
      </c>
      <c r="K5" s="2">
        <v>4762371000</v>
      </c>
      <c r="L5" s="2">
        <v>4745529000</v>
      </c>
      <c r="M5" s="2">
        <v>4667007000</v>
      </c>
      <c r="N5" s="2">
        <v>5250537000</v>
      </c>
      <c r="O5" s="2">
        <v>2293188000</v>
      </c>
      <c r="P5" s="9">
        <f t="shared" si="0"/>
        <v>30431077000</v>
      </c>
      <c r="R5" s="18">
        <f t="shared" si="1"/>
        <v>22887352000</v>
      </c>
    </row>
    <row r="6" spans="1:18">
      <c r="A6" t="s">
        <v>152</v>
      </c>
      <c r="B6" s="2">
        <v>958779000</v>
      </c>
      <c r="C6" s="2">
        <v>3996772000</v>
      </c>
      <c r="D6" s="2">
        <v>3170677000</v>
      </c>
      <c r="E6" s="2">
        <v>1891406000</v>
      </c>
      <c r="F6" s="2">
        <v>1432868000</v>
      </c>
      <c r="G6" s="2">
        <v>9666137000</v>
      </c>
      <c r="H6" s="2">
        <v>9738107000</v>
      </c>
      <c r="I6" s="2">
        <v>6796265000</v>
      </c>
      <c r="J6" s="2">
        <v>2322249000</v>
      </c>
      <c r="K6" s="2">
        <v>7164413000</v>
      </c>
      <c r="L6" s="2">
        <v>3430860000</v>
      </c>
      <c r="M6" s="2">
        <v>2902096000</v>
      </c>
      <c r="N6" s="2">
        <v>1531397000</v>
      </c>
      <c r="O6" s="2">
        <v>711822000</v>
      </c>
      <c r="P6" s="9">
        <f t="shared" si="0"/>
        <v>29403497000</v>
      </c>
      <c r="R6" s="18">
        <f t="shared" si="1"/>
        <v>27160278000</v>
      </c>
    </row>
    <row r="7" spans="1:18">
      <c r="A7" s="24" t="s">
        <v>151</v>
      </c>
      <c r="B7" s="2">
        <v>132208698000</v>
      </c>
      <c r="C7" s="2">
        <v>509684826000</v>
      </c>
      <c r="D7" s="2">
        <v>366251427000</v>
      </c>
      <c r="E7" s="2">
        <v>241666406000</v>
      </c>
      <c r="F7" s="2">
        <v>143830696000</v>
      </c>
      <c r="G7" s="2">
        <v>529543442000</v>
      </c>
      <c r="H7" s="2">
        <v>363555842000</v>
      </c>
      <c r="I7" s="2">
        <v>238757378000</v>
      </c>
      <c r="J7" s="2">
        <v>118872588000</v>
      </c>
      <c r="K7" s="2">
        <v>462447924000</v>
      </c>
      <c r="L7" s="2">
        <v>448065356000</v>
      </c>
      <c r="M7" s="2">
        <v>429746847000</v>
      </c>
      <c r="N7" s="2">
        <v>421012148000</v>
      </c>
      <c r="O7" s="2">
        <v>325637548000</v>
      </c>
      <c r="P7" s="9">
        <f t="shared" si="0"/>
        <v>3126138091000</v>
      </c>
      <c r="R7" s="18">
        <f t="shared" si="1"/>
        <v>2379488395000</v>
      </c>
    </row>
    <row r="8" spans="1:18">
      <c r="A8" t="s">
        <v>150</v>
      </c>
      <c r="B8" s="2">
        <v>114715047000</v>
      </c>
      <c r="C8" s="2">
        <v>427709577000</v>
      </c>
      <c r="D8" s="2">
        <v>306100399000</v>
      </c>
      <c r="E8" s="2">
        <v>195401551000</v>
      </c>
      <c r="F8" s="2">
        <v>110420030000</v>
      </c>
      <c r="G8" s="2">
        <v>478979896000</v>
      </c>
      <c r="H8" s="2">
        <v>338827180000</v>
      </c>
      <c r="I8" s="2">
        <v>226879578000</v>
      </c>
      <c r="J8" s="2">
        <v>106517274000</v>
      </c>
      <c r="K8" s="2">
        <v>419360435000</v>
      </c>
      <c r="L8" s="2">
        <v>407117486000</v>
      </c>
      <c r="M8" s="2">
        <v>391348183000</v>
      </c>
      <c r="N8" s="2">
        <v>367695676000</v>
      </c>
      <c r="O8" s="2">
        <v>283645130000</v>
      </c>
      <c r="P8" s="9">
        <f t="shared" si="0"/>
        <v>2775856383000</v>
      </c>
      <c r="R8" s="18">
        <f t="shared" si="1"/>
        <v>2124515577000</v>
      </c>
    </row>
    <row r="9" spans="1:18">
      <c r="A9" t="s">
        <v>149</v>
      </c>
      <c r="B9" s="2">
        <v>7836644000</v>
      </c>
      <c r="C9" s="2">
        <v>25328798000</v>
      </c>
      <c r="D9" s="2">
        <v>17659544000</v>
      </c>
      <c r="E9" s="2">
        <v>12620311000</v>
      </c>
      <c r="F9" s="2">
        <v>7791085000</v>
      </c>
      <c r="G9" s="2">
        <v>25356007000</v>
      </c>
      <c r="H9" s="2">
        <v>17277097000</v>
      </c>
      <c r="I9" s="2">
        <v>11595235000</v>
      </c>
      <c r="J9" s="2">
        <v>5767967000</v>
      </c>
      <c r="K9" s="2">
        <v>24931687000</v>
      </c>
      <c r="L9" s="2">
        <v>21865653000</v>
      </c>
      <c r="M9" s="2">
        <v>19889607000</v>
      </c>
      <c r="N9" s="2">
        <v>21247342000</v>
      </c>
      <c r="O9" s="2">
        <v>22032267000</v>
      </c>
      <c r="P9" s="9">
        <f t="shared" si="0"/>
        <v>160651361000</v>
      </c>
      <c r="R9" s="18">
        <f t="shared" si="1"/>
        <v>117371752000</v>
      </c>
    </row>
    <row r="10" spans="1:18">
      <c r="A10" t="s">
        <v>148</v>
      </c>
      <c r="B10" s="2">
        <v>1340368000</v>
      </c>
      <c r="C10" s="2">
        <v>2911868000</v>
      </c>
      <c r="D10" s="2">
        <v>1868801000</v>
      </c>
      <c r="E10" s="2">
        <v>1715810000</v>
      </c>
      <c r="F10" s="2">
        <v>1477178000</v>
      </c>
      <c r="G10" s="2">
        <v>3286100000</v>
      </c>
      <c r="H10" s="2">
        <v>3210315000</v>
      </c>
      <c r="I10" s="2">
        <v>2459275000</v>
      </c>
      <c r="J10" s="2">
        <v>875244000</v>
      </c>
      <c r="K10" s="2">
        <v>3559322000</v>
      </c>
      <c r="L10" s="2">
        <v>3914716000</v>
      </c>
      <c r="M10" s="2">
        <v>4742107000</v>
      </c>
      <c r="N10" s="2">
        <v>2777954000</v>
      </c>
      <c r="O10" s="2">
        <v>4944887000</v>
      </c>
      <c r="P10" s="9">
        <f t="shared" si="0"/>
        <v>26136954000</v>
      </c>
      <c r="R10" s="18">
        <f t="shared" si="1"/>
        <v>18414113000</v>
      </c>
    </row>
    <row r="11" spans="1:18">
      <c r="A11" t="s">
        <v>147</v>
      </c>
      <c r="B11" s="2">
        <v>3111469000</v>
      </c>
      <c r="C11" s="2">
        <v>10650854000</v>
      </c>
      <c r="D11" s="2">
        <v>8500523000</v>
      </c>
      <c r="E11" s="2">
        <v>5343363000</v>
      </c>
      <c r="F11" s="2">
        <v>3298229000</v>
      </c>
      <c r="G11" s="2">
        <v>6555812000</v>
      </c>
      <c r="H11" s="2">
        <v>6156008000</v>
      </c>
      <c r="I11" s="2">
        <v>3224052000</v>
      </c>
      <c r="J11" s="2">
        <v>3955305000</v>
      </c>
      <c r="K11" s="2">
        <v>5871895000</v>
      </c>
      <c r="L11" s="2">
        <v>7473763000</v>
      </c>
      <c r="M11" s="2">
        <v>7327663000</v>
      </c>
      <c r="N11" s="2">
        <v>7285589000</v>
      </c>
      <c r="O11" s="2">
        <v>6501457000</v>
      </c>
      <c r="P11" s="9">
        <f t="shared" si="0"/>
        <v>51667033000</v>
      </c>
      <c r="R11" s="18">
        <f t="shared" si="1"/>
        <v>37879987000</v>
      </c>
    </row>
    <row r="12" spans="1:18">
      <c r="A12" s="24" t="s">
        <v>146</v>
      </c>
      <c r="B12" s="2">
        <v>127003528000</v>
      </c>
      <c r="C12" s="2">
        <v>466601097000</v>
      </c>
      <c r="D12" s="2">
        <v>334129267000</v>
      </c>
      <c r="E12" s="2">
        <v>215081035000</v>
      </c>
      <c r="F12" s="2">
        <v>122986522000</v>
      </c>
      <c r="G12" s="2">
        <v>514177815000</v>
      </c>
      <c r="H12" s="2">
        <v>365470600000</v>
      </c>
      <c r="I12" s="2">
        <v>244158140000</v>
      </c>
      <c r="J12" s="2">
        <v>117115790000</v>
      </c>
      <c r="K12" s="2">
        <v>453723339000</v>
      </c>
      <c r="L12" s="2">
        <v>440371618000</v>
      </c>
      <c r="M12" s="2">
        <v>423307560000</v>
      </c>
      <c r="N12" s="2">
        <v>399006561000</v>
      </c>
      <c r="O12" s="2">
        <v>317123741000</v>
      </c>
      <c r="P12" s="9">
        <f t="shared" si="0"/>
        <v>3014311731000</v>
      </c>
      <c r="R12" s="18">
        <f t="shared" si="1"/>
        <v>2298181429000</v>
      </c>
    </row>
    <row r="13" spans="1:18">
      <c r="A13" s="25" t="s">
        <v>145</v>
      </c>
      <c r="B13" s="2">
        <v>5205170000</v>
      </c>
      <c r="C13" s="2">
        <v>43083729000</v>
      </c>
      <c r="D13" s="2">
        <v>32122160000</v>
      </c>
      <c r="E13" s="2">
        <v>26585371000</v>
      </c>
      <c r="F13" s="2">
        <v>20844174000</v>
      </c>
      <c r="G13" s="2">
        <v>15365627000</v>
      </c>
      <c r="H13" s="2">
        <v>-1914758000</v>
      </c>
      <c r="I13" s="2">
        <v>-5400762000</v>
      </c>
      <c r="J13" s="2">
        <v>1756798000</v>
      </c>
      <c r="K13" s="2">
        <v>8724585000</v>
      </c>
      <c r="L13" s="2">
        <v>7693738000</v>
      </c>
      <c r="M13" s="2">
        <v>6439287000</v>
      </c>
      <c r="N13" s="2">
        <v>22005587000</v>
      </c>
      <c r="O13" s="2">
        <v>8513807000</v>
      </c>
      <c r="P13" s="34">
        <f t="shared" si="0"/>
        <v>111826360000</v>
      </c>
      <c r="R13" s="34">
        <f t="shared" si="1"/>
        <v>81306966000</v>
      </c>
    </row>
    <row r="14" spans="1:18">
      <c r="A14" t="s">
        <v>144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9"/>
    </row>
    <row r="15" spans="1:18">
      <c r="A15" t="s">
        <v>143</v>
      </c>
      <c r="B15" s="2">
        <v>1087426000</v>
      </c>
      <c r="C15" s="2">
        <v>5380000000</v>
      </c>
      <c r="D15" s="2">
        <v>5380000000</v>
      </c>
      <c r="E15" s="2">
        <v>3190000000</v>
      </c>
      <c r="F15" s="2">
        <v>2690000000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700000000</v>
      </c>
      <c r="O15" s="2">
        <v>3750000000</v>
      </c>
      <c r="P15" s="9">
        <f t="shared" ref="P15:P26" si="2">SUM(K15:O15,G15,C15)</f>
        <v>9830000000</v>
      </c>
      <c r="R15" s="18">
        <f t="shared" ref="R15:R26" si="3">SUM(K15:M15,G15,C15)</f>
        <v>5380000000</v>
      </c>
    </row>
    <row r="16" spans="1:18">
      <c r="A16" t="s">
        <v>142</v>
      </c>
      <c r="B16" s="2">
        <v>279394000</v>
      </c>
      <c r="C16" s="2">
        <v>11983000</v>
      </c>
      <c r="D16" s="2">
        <v>0</v>
      </c>
      <c r="E16" s="2">
        <v>0</v>
      </c>
      <c r="F16" s="2">
        <v>0</v>
      </c>
      <c r="G16" s="2">
        <v>30077000</v>
      </c>
      <c r="H16" s="2">
        <v>22376000</v>
      </c>
      <c r="I16" s="2">
        <v>23622000</v>
      </c>
      <c r="J16" s="2">
        <v>0</v>
      </c>
      <c r="K16" s="2">
        <v>965101000</v>
      </c>
      <c r="L16" s="2">
        <v>327251000</v>
      </c>
      <c r="M16" s="2">
        <v>165213000</v>
      </c>
      <c r="N16" s="2">
        <v>142548000</v>
      </c>
      <c r="O16" s="2">
        <v>13155000</v>
      </c>
      <c r="P16" s="9">
        <f t="shared" si="2"/>
        <v>1655328000</v>
      </c>
      <c r="R16" s="18">
        <f t="shared" si="3"/>
        <v>1499625000</v>
      </c>
    </row>
    <row r="17" spans="1:18">
      <c r="A17" t="s">
        <v>141</v>
      </c>
      <c r="B17" s="2">
        <v>71652000</v>
      </c>
      <c r="C17" s="2">
        <v>520011000</v>
      </c>
      <c r="D17" s="2">
        <v>285371000</v>
      </c>
      <c r="E17" s="2">
        <v>219765000</v>
      </c>
      <c r="F17" s="2">
        <v>23784000</v>
      </c>
      <c r="G17" s="2">
        <v>46566000</v>
      </c>
      <c r="H17" s="2">
        <v>15140000</v>
      </c>
      <c r="I17" s="2">
        <v>22819000</v>
      </c>
      <c r="J17" s="2">
        <v>38973000</v>
      </c>
      <c r="K17" s="2">
        <v>53791000</v>
      </c>
      <c r="L17" s="2">
        <v>110405000</v>
      </c>
      <c r="M17" s="2">
        <v>328392000</v>
      </c>
      <c r="N17" s="2">
        <v>995550000</v>
      </c>
      <c r="O17" s="2">
        <v>165800000</v>
      </c>
      <c r="P17" s="9">
        <f t="shared" si="2"/>
        <v>2220515000</v>
      </c>
      <c r="R17" s="18">
        <f t="shared" si="3"/>
        <v>1059165000</v>
      </c>
    </row>
    <row r="18" spans="1:18">
      <c r="A18" t="s">
        <v>140</v>
      </c>
      <c r="B18" s="2">
        <v>27208000</v>
      </c>
      <c r="C18" s="2">
        <v>21599000</v>
      </c>
      <c r="D18" s="2">
        <v>21599000</v>
      </c>
      <c r="E18" s="2">
        <v>21599000</v>
      </c>
      <c r="F18" s="2">
        <v>21599000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1308190000</v>
      </c>
      <c r="O18" s="2">
        <v>0</v>
      </c>
      <c r="P18" s="9">
        <f t="shared" si="2"/>
        <v>1329789000</v>
      </c>
      <c r="R18" s="18">
        <f t="shared" si="3"/>
        <v>21599000</v>
      </c>
    </row>
    <row r="19" spans="1:18">
      <c r="A19" t="s">
        <v>139</v>
      </c>
      <c r="B19" s="2">
        <v>118351000</v>
      </c>
      <c r="C19" s="2">
        <v>800495000</v>
      </c>
      <c r="D19" s="2">
        <v>996031000</v>
      </c>
      <c r="E19" s="2">
        <v>704117000</v>
      </c>
      <c r="F19" s="2">
        <v>314433000</v>
      </c>
      <c r="G19" s="2">
        <v>2975165000</v>
      </c>
      <c r="H19" s="2">
        <v>2499475000</v>
      </c>
      <c r="I19" s="2">
        <v>490565000</v>
      </c>
      <c r="J19" s="2">
        <v>497458000</v>
      </c>
      <c r="K19" s="2">
        <v>2306524000</v>
      </c>
      <c r="L19" s="2">
        <v>116260000</v>
      </c>
      <c r="M19" s="2">
        <v>11512000</v>
      </c>
      <c r="N19" s="2">
        <v>208696000</v>
      </c>
      <c r="O19" s="2">
        <v>126383000</v>
      </c>
      <c r="P19" s="9">
        <f t="shared" si="2"/>
        <v>6545035000</v>
      </c>
      <c r="R19" s="18">
        <f t="shared" si="3"/>
        <v>6209956000</v>
      </c>
    </row>
    <row r="20" spans="1:18">
      <c r="A20" s="24" t="s">
        <v>138</v>
      </c>
      <c r="B20" s="2">
        <v>1584031000</v>
      </c>
      <c r="C20" s="2">
        <v>6734088000</v>
      </c>
      <c r="D20" s="2">
        <v>6683001000</v>
      </c>
      <c r="E20" s="2">
        <v>4135481000</v>
      </c>
      <c r="F20" s="2">
        <v>3049816000</v>
      </c>
      <c r="G20" s="2">
        <v>3051808000</v>
      </c>
      <c r="H20" s="2">
        <v>2536991000</v>
      </c>
      <c r="I20" s="2">
        <v>537006000</v>
      </c>
      <c r="J20" s="2">
        <v>536431000</v>
      </c>
      <c r="K20" s="2">
        <v>3325416000</v>
      </c>
      <c r="L20" s="2">
        <v>553916000</v>
      </c>
      <c r="M20" s="2">
        <v>505117000</v>
      </c>
      <c r="N20" s="2">
        <v>3354984000</v>
      </c>
      <c r="O20" s="2">
        <v>4055338000</v>
      </c>
      <c r="P20" s="9">
        <f t="shared" si="2"/>
        <v>21580667000</v>
      </c>
      <c r="R20" s="18">
        <f t="shared" si="3"/>
        <v>14170345000</v>
      </c>
    </row>
    <row r="21" spans="1:18">
      <c r="A21" s="26" t="s">
        <v>137</v>
      </c>
      <c r="B21" s="2">
        <v>2812894000</v>
      </c>
      <c r="C21" s="2">
        <v>9189698000</v>
      </c>
      <c r="D21" s="2">
        <v>6028433000</v>
      </c>
      <c r="E21" s="2">
        <v>4055130000</v>
      </c>
      <c r="F21" s="2">
        <v>2282482000</v>
      </c>
      <c r="G21" s="2">
        <v>8093290000</v>
      </c>
      <c r="H21" s="2">
        <v>5018470000</v>
      </c>
      <c r="I21" s="2">
        <v>2592476000</v>
      </c>
      <c r="J21" s="2">
        <v>1370588000</v>
      </c>
      <c r="K21" s="2">
        <v>6035315000</v>
      </c>
      <c r="L21" s="2">
        <v>3606281000</v>
      </c>
      <c r="M21" s="2">
        <v>3058426000</v>
      </c>
      <c r="N21" s="2">
        <v>3680488000</v>
      </c>
      <c r="O21" s="2">
        <v>935661000</v>
      </c>
      <c r="P21" s="35">
        <f t="shared" si="2"/>
        <v>34599159000</v>
      </c>
      <c r="R21" s="35">
        <f t="shared" si="3"/>
        <v>29983010000</v>
      </c>
    </row>
    <row r="22" spans="1:18">
      <c r="A22" t="s">
        <v>136</v>
      </c>
      <c r="B22" s="2">
        <v>344546000</v>
      </c>
      <c r="C22" s="2">
        <v>1688310000</v>
      </c>
      <c r="D22" s="2">
        <v>1311237000</v>
      </c>
      <c r="E22" s="2">
        <v>1266592000</v>
      </c>
      <c r="F22" s="2">
        <v>39482000</v>
      </c>
      <c r="G22" s="2">
        <v>9236384000</v>
      </c>
      <c r="H22" s="2">
        <v>9194316000</v>
      </c>
      <c r="I22" s="2">
        <v>9185891000</v>
      </c>
      <c r="J22" s="2">
        <v>6522567000</v>
      </c>
      <c r="K22" s="2">
        <v>1798609000</v>
      </c>
      <c r="L22" s="2">
        <v>983207000</v>
      </c>
      <c r="M22" s="2">
        <v>153045000</v>
      </c>
      <c r="N22" s="2">
        <v>851042000</v>
      </c>
      <c r="O22" s="2">
        <v>4000000000</v>
      </c>
      <c r="P22" s="9">
        <f t="shared" si="2"/>
        <v>18710597000</v>
      </c>
      <c r="R22" s="9">
        <f t="shared" si="3"/>
        <v>13859555000</v>
      </c>
    </row>
    <row r="23" spans="1:18">
      <c r="A23" s="27" t="s">
        <v>135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342454000</v>
      </c>
      <c r="H23" s="2">
        <v>343144000</v>
      </c>
      <c r="I23" s="2">
        <v>342454000</v>
      </c>
      <c r="J23" s="2">
        <v>255242000</v>
      </c>
      <c r="K23" s="2">
        <v>0</v>
      </c>
      <c r="L23" s="2">
        <v>70465000</v>
      </c>
      <c r="M23" s="2">
        <v>0</v>
      </c>
      <c r="N23" s="2">
        <v>0</v>
      </c>
      <c r="O23" s="2">
        <v>128518000</v>
      </c>
      <c r="P23" s="36">
        <f t="shared" si="2"/>
        <v>541437000</v>
      </c>
      <c r="R23" s="36">
        <f t="shared" si="3"/>
        <v>412919000</v>
      </c>
    </row>
    <row r="24" spans="1:18">
      <c r="A24" t="s">
        <v>134</v>
      </c>
      <c r="B24" s="2">
        <v>1559000</v>
      </c>
      <c r="C24" s="2">
        <v>419639000</v>
      </c>
      <c r="D24" s="2">
        <v>505200000</v>
      </c>
      <c r="E24" s="2">
        <v>418507000</v>
      </c>
      <c r="F24" s="2">
        <v>539609000</v>
      </c>
      <c r="G24" s="2">
        <v>687182000</v>
      </c>
      <c r="H24" s="2">
        <v>479589000</v>
      </c>
      <c r="I24" s="2">
        <v>463385000</v>
      </c>
      <c r="J24" s="2">
        <v>1420715000</v>
      </c>
      <c r="K24" s="2">
        <v>2591292000</v>
      </c>
      <c r="L24" s="2">
        <v>2353818000</v>
      </c>
      <c r="M24" s="2">
        <v>111282000</v>
      </c>
      <c r="N24" s="2">
        <v>191687000</v>
      </c>
      <c r="O24" s="2">
        <v>1358220000</v>
      </c>
      <c r="P24" s="9">
        <f t="shared" si="2"/>
        <v>7713120000</v>
      </c>
      <c r="R24" s="18">
        <f t="shared" si="3"/>
        <v>6163213000</v>
      </c>
    </row>
    <row r="25" spans="1:18">
      <c r="A25" s="24" t="s">
        <v>133</v>
      </c>
      <c r="B25" s="2">
        <v>3158999000</v>
      </c>
      <c r="C25" s="2">
        <v>11297647000</v>
      </c>
      <c r="D25" s="2">
        <v>7844870000</v>
      </c>
      <c r="E25" s="2">
        <v>5740229000</v>
      </c>
      <c r="F25" s="2">
        <v>2861573000</v>
      </c>
      <c r="G25" s="2">
        <v>18359310000</v>
      </c>
      <c r="H25" s="2">
        <v>15035519000</v>
      </c>
      <c r="I25" s="2">
        <v>12584206000</v>
      </c>
      <c r="J25" s="2">
        <v>9569112000</v>
      </c>
      <c r="K25" s="2">
        <v>10425216000</v>
      </c>
      <c r="L25" s="2">
        <v>7013771000</v>
      </c>
      <c r="M25" s="2">
        <v>3322753000</v>
      </c>
      <c r="N25" s="2">
        <v>4723217000</v>
      </c>
      <c r="O25" s="2">
        <v>6422399000</v>
      </c>
      <c r="P25" s="9">
        <f t="shared" si="2"/>
        <v>61564313000</v>
      </c>
      <c r="R25" s="18">
        <f t="shared" si="3"/>
        <v>50418697000</v>
      </c>
    </row>
    <row r="26" spans="1:18">
      <c r="A26" s="4" t="s">
        <v>132</v>
      </c>
      <c r="B26" s="2">
        <v>-1574968000</v>
      </c>
      <c r="C26" s="2">
        <v>-4563559000</v>
      </c>
      <c r="D26" s="2">
        <v>-1161869000</v>
      </c>
      <c r="E26" s="2">
        <v>-1604748000</v>
      </c>
      <c r="F26" s="2">
        <v>188243000</v>
      </c>
      <c r="G26" s="2">
        <v>-15307502000</v>
      </c>
      <c r="H26" s="2">
        <v>-12498528000</v>
      </c>
      <c r="I26" s="2">
        <v>-12047200000</v>
      </c>
      <c r="J26" s="2">
        <v>-9032681000</v>
      </c>
      <c r="K26" s="2">
        <v>-7099800000</v>
      </c>
      <c r="L26" s="2">
        <v>-6459855000</v>
      </c>
      <c r="M26" s="2">
        <v>-2817636000</v>
      </c>
      <c r="N26" s="2">
        <v>-1368233000</v>
      </c>
      <c r="O26" s="2">
        <v>-2367061000</v>
      </c>
      <c r="P26" s="9">
        <f t="shared" si="2"/>
        <v>-39983646000</v>
      </c>
      <c r="R26" s="18">
        <f t="shared" si="3"/>
        <v>-36248352000</v>
      </c>
    </row>
    <row r="27" spans="1:18">
      <c r="A27" t="s">
        <v>131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9"/>
    </row>
    <row r="28" spans="1:18">
      <c r="A28" s="28" t="s">
        <v>130</v>
      </c>
      <c r="B28" s="2">
        <v>105000</v>
      </c>
      <c r="C28" s="2">
        <v>174482000</v>
      </c>
      <c r="D28" s="2">
        <v>165550000</v>
      </c>
      <c r="E28" s="2">
        <v>140282000</v>
      </c>
      <c r="F28" s="2">
        <v>36215000</v>
      </c>
      <c r="G28" s="2">
        <v>386000</v>
      </c>
      <c r="H28" s="2">
        <v>386000</v>
      </c>
      <c r="I28" s="2">
        <v>386000</v>
      </c>
      <c r="J28" s="2">
        <v>386000</v>
      </c>
      <c r="K28" s="2">
        <v>27413000</v>
      </c>
      <c r="L28" s="2">
        <v>336153000</v>
      </c>
      <c r="M28" s="2">
        <v>978782000</v>
      </c>
      <c r="N28" s="2">
        <v>26780656000</v>
      </c>
      <c r="O28" s="2">
        <v>2233917000</v>
      </c>
      <c r="P28" s="37">
        <f t="shared" ref="P28:P77" si="4">SUM(K28:O28,G28,C28)</f>
        <v>30531789000</v>
      </c>
      <c r="Q28" s="197">
        <f>P28-P29</f>
        <v>28894607000</v>
      </c>
      <c r="R28" s="37">
        <f t="shared" ref="R28:R77" si="5">SUM(K28:M28,G28,C28)</f>
        <v>1517216000</v>
      </c>
    </row>
    <row r="29" spans="1:18">
      <c r="A29" t="s">
        <v>129</v>
      </c>
      <c r="B29" s="2">
        <v>0</v>
      </c>
      <c r="C29" s="2">
        <v>95330000</v>
      </c>
      <c r="D29" s="2">
        <v>89150000</v>
      </c>
      <c r="E29" s="2">
        <v>65000000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207500000</v>
      </c>
      <c r="M29" s="2">
        <v>18141000</v>
      </c>
      <c r="N29" s="2">
        <v>0</v>
      </c>
      <c r="O29" s="2">
        <v>1316211000</v>
      </c>
      <c r="P29" s="9">
        <f t="shared" si="4"/>
        <v>1637182000</v>
      </c>
      <c r="Q29" s="197"/>
      <c r="R29" s="18">
        <f t="shared" si="5"/>
        <v>320971000</v>
      </c>
    </row>
    <row r="30" spans="1:18">
      <c r="A30" t="s">
        <v>128</v>
      </c>
      <c r="B30" s="2">
        <v>21568617000</v>
      </c>
      <c r="C30" s="2">
        <v>162512131000</v>
      </c>
      <c r="D30" s="2">
        <v>135310246000</v>
      </c>
      <c r="E30" s="2">
        <v>107376496000</v>
      </c>
      <c r="F30" s="2">
        <v>24486438000</v>
      </c>
      <c r="G30" s="2">
        <v>148244502000</v>
      </c>
      <c r="H30" s="2">
        <v>83979975000</v>
      </c>
      <c r="I30" s="2">
        <v>56335747000</v>
      </c>
      <c r="J30" s="2">
        <v>37244437000</v>
      </c>
      <c r="K30" s="2">
        <v>157283504000</v>
      </c>
      <c r="L30" s="2">
        <v>124970428000</v>
      </c>
      <c r="M30" s="2">
        <v>58516568000</v>
      </c>
      <c r="N30" s="2">
        <v>60246268000</v>
      </c>
      <c r="O30" s="2">
        <v>26545552000</v>
      </c>
      <c r="P30" s="9">
        <f t="shared" si="4"/>
        <v>738318953000</v>
      </c>
      <c r="R30" s="18">
        <f t="shared" si="5"/>
        <v>651527133000</v>
      </c>
    </row>
    <row r="31" spans="1:18">
      <c r="A31" t="s">
        <v>127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9">
        <f t="shared" si="4"/>
        <v>0</v>
      </c>
      <c r="R31" s="18">
        <f t="shared" si="5"/>
        <v>0</v>
      </c>
    </row>
    <row r="32" spans="1:18">
      <c r="A32" t="s">
        <v>126</v>
      </c>
      <c r="B32" s="2">
        <v>0</v>
      </c>
      <c r="C32" s="2">
        <v>146563000</v>
      </c>
      <c r="D32" s="2">
        <v>146554000</v>
      </c>
      <c r="E32" s="2">
        <v>146554000</v>
      </c>
      <c r="F32" s="2">
        <v>146554000</v>
      </c>
      <c r="G32" s="2">
        <v>837281000</v>
      </c>
      <c r="H32" s="2">
        <v>405925000</v>
      </c>
      <c r="I32" s="2">
        <v>457870000</v>
      </c>
      <c r="J32" s="2">
        <v>0</v>
      </c>
      <c r="K32" s="2">
        <v>0</v>
      </c>
      <c r="L32" s="2">
        <v>0</v>
      </c>
      <c r="M32" s="2">
        <v>2133082000</v>
      </c>
      <c r="N32" s="2">
        <v>5243622000</v>
      </c>
      <c r="O32" s="2">
        <v>1807555000</v>
      </c>
      <c r="P32" s="9">
        <f t="shared" si="4"/>
        <v>10168103000</v>
      </c>
      <c r="R32" s="18">
        <f t="shared" si="5"/>
        <v>3116926000</v>
      </c>
    </row>
    <row r="33" spans="1:18">
      <c r="A33" s="24" t="s">
        <v>125</v>
      </c>
      <c r="B33" s="2">
        <v>21568722000</v>
      </c>
      <c r="C33" s="2">
        <v>162833176000</v>
      </c>
      <c r="D33" s="2">
        <v>135622350000</v>
      </c>
      <c r="E33" s="2">
        <v>107663332000</v>
      </c>
      <c r="F33" s="2">
        <v>24669207000</v>
      </c>
      <c r="G33" s="2">
        <v>149082169000</v>
      </c>
      <c r="H33" s="2">
        <v>84386286000</v>
      </c>
      <c r="I33" s="2">
        <v>56794003000</v>
      </c>
      <c r="J33" s="2">
        <v>37244823000</v>
      </c>
      <c r="K33" s="2">
        <v>157310917000</v>
      </c>
      <c r="L33" s="2">
        <v>125306581000</v>
      </c>
      <c r="M33" s="2">
        <v>61628432000</v>
      </c>
      <c r="N33" s="2">
        <v>92270546000</v>
      </c>
      <c r="O33" s="2">
        <v>30587024000</v>
      </c>
      <c r="P33" s="9">
        <f t="shared" si="4"/>
        <v>779018845000</v>
      </c>
      <c r="R33" s="18">
        <f t="shared" si="5"/>
        <v>656161275000</v>
      </c>
    </row>
    <row r="34" spans="1:18">
      <c r="A34" t="s">
        <v>124</v>
      </c>
      <c r="B34" s="2">
        <v>28348037000</v>
      </c>
      <c r="C34" s="2">
        <v>172729523000</v>
      </c>
      <c r="D34" s="2">
        <v>142937695000</v>
      </c>
      <c r="E34" s="2">
        <v>117197799000</v>
      </c>
      <c r="F34" s="2">
        <v>33249696000</v>
      </c>
      <c r="G34" s="2">
        <v>148264199000</v>
      </c>
      <c r="H34" s="2">
        <v>68779753000</v>
      </c>
      <c r="I34" s="2">
        <v>42741857000</v>
      </c>
      <c r="J34" s="2">
        <v>30826178000</v>
      </c>
      <c r="K34" s="2">
        <v>144780429000</v>
      </c>
      <c r="L34" s="2">
        <v>107984036000</v>
      </c>
      <c r="M34" s="2">
        <v>52800364000</v>
      </c>
      <c r="N34" s="2">
        <v>44444332000</v>
      </c>
      <c r="O34" s="2">
        <v>19960885000</v>
      </c>
      <c r="P34" s="9">
        <f t="shared" si="4"/>
        <v>690963768000</v>
      </c>
      <c r="R34" s="18">
        <f t="shared" si="5"/>
        <v>626558551000</v>
      </c>
    </row>
    <row r="35" spans="1:18">
      <c r="A35" s="29" t="s">
        <v>123</v>
      </c>
      <c r="B35" s="2">
        <v>583783000</v>
      </c>
      <c r="C35" s="2">
        <v>13267414000</v>
      </c>
      <c r="D35" s="2">
        <v>12583701000</v>
      </c>
      <c r="E35" s="2">
        <v>1086088000</v>
      </c>
      <c r="F35" s="2">
        <v>599048000</v>
      </c>
      <c r="G35" s="2">
        <v>11089755000</v>
      </c>
      <c r="H35" s="2">
        <v>10786385000</v>
      </c>
      <c r="I35" s="2">
        <v>512912000</v>
      </c>
      <c r="J35" s="2">
        <v>123320000</v>
      </c>
      <c r="K35" s="2">
        <v>5360861000</v>
      </c>
      <c r="L35" s="2">
        <v>4597764000</v>
      </c>
      <c r="M35" s="2">
        <v>3368348000</v>
      </c>
      <c r="N35" s="2">
        <v>698297000</v>
      </c>
      <c r="O35" s="2">
        <v>1957911000</v>
      </c>
      <c r="P35" s="38">
        <f t="shared" si="4"/>
        <v>40340350000</v>
      </c>
      <c r="Q35" s="197">
        <f>P35-P36</f>
        <v>40340350000</v>
      </c>
      <c r="R35" s="38">
        <f t="shared" si="5"/>
        <v>37684142000</v>
      </c>
    </row>
    <row r="36" spans="1:18">
      <c r="A36" s="30" t="s">
        <v>122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39">
        <f t="shared" si="4"/>
        <v>0</v>
      </c>
      <c r="Q36" s="197"/>
      <c r="R36" s="39">
        <f t="shared" si="5"/>
        <v>0</v>
      </c>
    </row>
    <row r="37" spans="1:18">
      <c r="A37" t="s">
        <v>121</v>
      </c>
      <c r="B37" s="2">
        <v>469783000</v>
      </c>
      <c r="C37" s="2">
        <v>1569739000</v>
      </c>
      <c r="D37" s="2">
        <v>1325213000</v>
      </c>
      <c r="E37" s="2">
        <v>876909000</v>
      </c>
      <c r="F37" s="2">
        <v>392995000</v>
      </c>
      <c r="G37" s="2">
        <v>3796671000</v>
      </c>
      <c r="H37" s="2">
        <v>2258041000</v>
      </c>
      <c r="I37" s="2">
        <v>1566399000</v>
      </c>
      <c r="J37" s="2">
        <v>445078000</v>
      </c>
      <c r="K37" s="2">
        <v>2403431000</v>
      </c>
      <c r="L37" s="2">
        <v>4568914000</v>
      </c>
      <c r="M37" s="2">
        <v>2739832000</v>
      </c>
      <c r="N37" s="2">
        <v>22243229000</v>
      </c>
      <c r="O37" s="2">
        <v>5082330000</v>
      </c>
      <c r="P37" s="9">
        <f t="shared" si="4"/>
        <v>42404146000</v>
      </c>
      <c r="R37" s="18">
        <f t="shared" si="5"/>
        <v>15078587000</v>
      </c>
    </row>
    <row r="38" spans="1:18">
      <c r="A38" s="24" t="s">
        <v>120</v>
      </c>
      <c r="B38" s="2">
        <v>29401603000</v>
      </c>
      <c r="C38" s="2">
        <v>187566676000</v>
      </c>
      <c r="D38" s="2">
        <v>156846609000</v>
      </c>
      <c r="E38" s="2">
        <v>119160796000</v>
      </c>
      <c r="F38" s="2">
        <v>34241739000</v>
      </c>
      <c r="G38" s="2">
        <v>163150625000</v>
      </c>
      <c r="H38" s="2">
        <v>81824179000</v>
      </c>
      <c r="I38" s="2">
        <v>44821168000</v>
      </c>
      <c r="J38" s="2">
        <v>31394576000</v>
      </c>
      <c r="K38" s="2">
        <v>152544721000</v>
      </c>
      <c r="L38" s="2">
        <v>117150714000</v>
      </c>
      <c r="M38" s="2">
        <v>58908544000</v>
      </c>
      <c r="N38" s="2">
        <v>67385858000</v>
      </c>
      <c r="O38" s="2">
        <v>27001126000</v>
      </c>
      <c r="P38" s="9">
        <f t="shared" si="4"/>
        <v>773708264000</v>
      </c>
      <c r="R38" s="18">
        <f t="shared" si="5"/>
        <v>679321280000</v>
      </c>
    </row>
    <row r="39" spans="1:18">
      <c r="A39" s="4" t="s">
        <v>119</v>
      </c>
      <c r="B39" s="2">
        <v>-7832881000</v>
      </c>
      <c r="C39" s="2">
        <v>-24733500000</v>
      </c>
      <c r="D39" s="2">
        <v>-21224259000</v>
      </c>
      <c r="E39" s="2">
        <v>-11497464000</v>
      </c>
      <c r="F39" s="2">
        <v>-9572532000</v>
      </c>
      <c r="G39" s="2">
        <v>-14068456000</v>
      </c>
      <c r="H39" s="2">
        <v>2562107000</v>
      </c>
      <c r="I39" s="2">
        <v>11972835000</v>
      </c>
      <c r="J39" s="2">
        <v>5850247000</v>
      </c>
      <c r="K39" s="2">
        <v>4766196000</v>
      </c>
      <c r="L39" s="2">
        <v>8155867000</v>
      </c>
      <c r="M39" s="2">
        <v>2719888000</v>
      </c>
      <c r="N39" s="2">
        <v>24884688000</v>
      </c>
      <c r="O39" s="2">
        <v>3585898000</v>
      </c>
      <c r="P39" s="9">
        <f t="shared" si="4"/>
        <v>5310581000</v>
      </c>
      <c r="R39" s="18">
        <f t="shared" si="5"/>
        <v>-23160005000</v>
      </c>
    </row>
    <row r="40" spans="1:18">
      <c r="A40" t="s">
        <v>118</v>
      </c>
      <c r="B40" s="2">
        <v>613601000</v>
      </c>
      <c r="C40" s="2">
        <v>398722000</v>
      </c>
      <c r="D40" s="2">
        <v>795956000</v>
      </c>
      <c r="E40" s="2">
        <v>891304000</v>
      </c>
      <c r="F40" s="2">
        <v>-436138000</v>
      </c>
      <c r="G40" s="2">
        <v>2105696000</v>
      </c>
      <c r="H40" s="2">
        <v>1942524000</v>
      </c>
      <c r="I40" s="2">
        <v>907772000</v>
      </c>
      <c r="J40" s="2">
        <v>-39778000</v>
      </c>
      <c r="K40" s="2">
        <v>-613101000</v>
      </c>
      <c r="L40" s="2">
        <v>-668120000</v>
      </c>
      <c r="M40" s="2">
        <v>96822000</v>
      </c>
      <c r="N40" s="2">
        <v>425967000</v>
      </c>
      <c r="O40" s="2">
        <v>-384279000</v>
      </c>
      <c r="P40" s="9">
        <f t="shared" si="4"/>
        <v>1361707000</v>
      </c>
      <c r="R40" s="18">
        <f t="shared" si="5"/>
        <v>1320019000</v>
      </c>
    </row>
    <row r="41" spans="1:18">
      <c r="A41" t="s">
        <v>117</v>
      </c>
      <c r="B41" s="2">
        <v>-3589078000</v>
      </c>
      <c r="C41" s="2">
        <v>14185392000</v>
      </c>
      <c r="D41" s="2">
        <v>10531988000</v>
      </c>
      <c r="E41" s="2">
        <v>14374463000</v>
      </c>
      <c r="F41" s="2">
        <v>11023747000</v>
      </c>
      <c r="G41" s="2">
        <v>-11904635000</v>
      </c>
      <c r="H41" s="2">
        <v>-9908655000</v>
      </c>
      <c r="I41" s="2">
        <v>-4567355000</v>
      </c>
      <c r="J41" s="2">
        <v>-1465414000</v>
      </c>
      <c r="K41" s="2">
        <v>5777880000</v>
      </c>
      <c r="L41" s="2">
        <v>8721630000</v>
      </c>
      <c r="M41" s="2">
        <v>6438361000</v>
      </c>
      <c r="N41" s="2">
        <v>45948009000</v>
      </c>
      <c r="O41" s="2">
        <v>9348365000</v>
      </c>
      <c r="P41" s="9">
        <f t="shared" si="4"/>
        <v>78515002000</v>
      </c>
      <c r="R41" s="18">
        <f t="shared" si="5"/>
        <v>23218628000</v>
      </c>
    </row>
    <row r="42" spans="1:18">
      <c r="A42" t="s">
        <v>116</v>
      </c>
      <c r="B42" s="2">
        <v>83351894000</v>
      </c>
      <c r="C42" s="2">
        <v>69166502000</v>
      </c>
      <c r="D42" s="2">
        <v>69166502000</v>
      </c>
      <c r="E42" s="2">
        <v>69166502000</v>
      </c>
      <c r="F42" s="2">
        <v>69166502000</v>
      </c>
      <c r="G42" s="2">
        <v>81071137000</v>
      </c>
      <c r="H42" s="2">
        <v>81071137000</v>
      </c>
      <c r="I42" s="2">
        <v>81071137000</v>
      </c>
      <c r="J42" s="2">
        <v>81071137000</v>
      </c>
      <c r="K42" s="2">
        <v>75293257000</v>
      </c>
      <c r="L42" s="2">
        <v>66571627000</v>
      </c>
      <c r="M42" s="2">
        <v>60133266000</v>
      </c>
      <c r="N42" s="2">
        <v>14185257000</v>
      </c>
      <c r="O42" s="2">
        <v>4836892000</v>
      </c>
      <c r="P42" s="9">
        <f t="shared" si="4"/>
        <v>371257938000</v>
      </c>
      <c r="R42" s="18">
        <f t="shared" si="5"/>
        <v>352235789000</v>
      </c>
    </row>
    <row r="43" spans="1:18">
      <c r="A43" t="s">
        <v>115</v>
      </c>
      <c r="B43" s="2">
        <v>79762816000</v>
      </c>
      <c r="C43" s="2">
        <v>83351894000</v>
      </c>
      <c r="D43" s="2">
        <v>79698490000</v>
      </c>
      <c r="E43" s="2">
        <v>83540965000</v>
      </c>
      <c r="F43" s="2">
        <v>80190249000</v>
      </c>
      <c r="G43" s="2">
        <v>69166502000</v>
      </c>
      <c r="H43" s="2">
        <v>71162482000</v>
      </c>
      <c r="I43" s="2">
        <v>76503782000</v>
      </c>
      <c r="J43" s="2">
        <v>79605723000</v>
      </c>
      <c r="K43" s="2">
        <v>81071137000</v>
      </c>
      <c r="L43" s="2">
        <v>75293257000</v>
      </c>
      <c r="M43" s="2">
        <v>66571627000</v>
      </c>
      <c r="N43" s="2">
        <v>60133266000</v>
      </c>
      <c r="O43" s="2">
        <v>14185257000</v>
      </c>
      <c r="P43" s="9">
        <f t="shared" si="4"/>
        <v>449772940000</v>
      </c>
      <c r="R43" s="18">
        <f t="shared" si="5"/>
        <v>375454417000</v>
      </c>
    </row>
    <row r="44" spans="1:18">
      <c r="A44" t="s">
        <v>114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9">
        <f t="shared" si="4"/>
        <v>0</v>
      </c>
      <c r="R44" s="18">
        <f t="shared" si="5"/>
        <v>0</v>
      </c>
    </row>
    <row r="45" spans="1:18">
      <c r="A45" s="31" t="s">
        <v>113</v>
      </c>
      <c r="B45" s="2">
        <v>0</v>
      </c>
      <c r="C45" s="2">
        <v>21018313000</v>
      </c>
      <c r="D45" s="2">
        <v>0</v>
      </c>
      <c r="E45" s="2">
        <v>7158517000</v>
      </c>
      <c r="F45" s="2">
        <v>0</v>
      </c>
      <c r="G45" s="2">
        <v>20083889000</v>
      </c>
      <c r="H45" s="2">
        <v>0</v>
      </c>
      <c r="I45" s="2">
        <v>6881193000</v>
      </c>
      <c r="J45" s="2">
        <v>0</v>
      </c>
      <c r="K45" s="2">
        <v>20024736000</v>
      </c>
      <c r="L45" s="2">
        <v>17426692000</v>
      </c>
      <c r="M45" s="2">
        <v>18606048000</v>
      </c>
      <c r="N45" s="2">
        <v>16907557000</v>
      </c>
      <c r="O45" s="2">
        <v>16219926000</v>
      </c>
      <c r="P45" s="9">
        <f t="shared" si="4"/>
        <v>130287161000</v>
      </c>
      <c r="R45" s="18">
        <f t="shared" si="5"/>
        <v>97159678000</v>
      </c>
    </row>
    <row r="46" spans="1:18">
      <c r="A46" s="31" t="s">
        <v>80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9">
        <f t="shared" si="4"/>
        <v>0</v>
      </c>
      <c r="R46" s="18">
        <f t="shared" si="5"/>
        <v>0</v>
      </c>
    </row>
    <row r="47" spans="1:18">
      <c r="A47" s="31" t="s">
        <v>112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9">
        <f t="shared" si="4"/>
        <v>0</v>
      </c>
      <c r="R47" s="18">
        <f t="shared" si="5"/>
        <v>0</v>
      </c>
    </row>
    <row r="48" spans="1:18">
      <c r="A48" s="31" t="s">
        <v>111</v>
      </c>
      <c r="B48" s="2">
        <v>0</v>
      </c>
      <c r="C48" s="2">
        <v>543186000</v>
      </c>
      <c r="D48" s="2">
        <v>0</v>
      </c>
      <c r="E48" s="2">
        <v>513697000</v>
      </c>
      <c r="F48" s="2">
        <v>0</v>
      </c>
      <c r="G48" s="2">
        <v>1068668000</v>
      </c>
      <c r="H48" s="2">
        <v>0</v>
      </c>
      <c r="I48" s="2">
        <v>619805000</v>
      </c>
      <c r="J48" s="2">
        <v>0</v>
      </c>
      <c r="K48" s="2">
        <v>407573000</v>
      </c>
      <c r="L48" s="2">
        <v>1332979000</v>
      </c>
      <c r="M48" s="2">
        <v>502012000</v>
      </c>
      <c r="N48" s="2">
        <v>736312000</v>
      </c>
      <c r="O48" s="2">
        <v>770427000</v>
      </c>
      <c r="P48" s="9">
        <f t="shared" si="4"/>
        <v>5361157000</v>
      </c>
      <c r="R48" s="18">
        <f t="shared" si="5"/>
        <v>3854418000</v>
      </c>
    </row>
    <row r="49" spans="1:18">
      <c r="A49" s="31" t="s">
        <v>110</v>
      </c>
      <c r="B49" s="2">
        <v>0</v>
      </c>
      <c r="C49" s="2">
        <v>4449463000</v>
      </c>
      <c r="D49" s="2">
        <v>0</v>
      </c>
      <c r="E49" s="2">
        <v>2090263000</v>
      </c>
      <c r="F49" s="2">
        <v>0</v>
      </c>
      <c r="G49" s="2">
        <v>3220238000</v>
      </c>
      <c r="H49" s="2">
        <v>0</v>
      </c>
      <c r="I49" s="2">
        <v>1438005000</v>
      </c>
      <c r="J49" s="2">
        <v>0</v>
      </c>
      <c r="K49" s="2">
        <v>2515669000</v>
      </c>
      <c r="L49" s="2">
        <v>2432955000</v>
      </c>
      <c r="M49" s="2">
        <v>2746040000</v>
      </c>
      <c r="N49" s="2">
        <v>3867919000</v>
      </c>
      <c r="O49" s="2">
        <v>3686021000</v>
      </c>
      <c r="P49" s="9">
        <f t="shared" si="4"/>
        <v>22918305000</v>
      </c>
      <c r="R49" s="18">
        <f t="shared" si="5"/>
        <v>15364365000</v>
      </c>
    </row>
    <row r="50" spans="1:18">
      <c r="A50" s="31" t="s">
        <v>109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9">
        <f t="shared" si="4"/>
        <v>0</v>
      </c>
      <c r="R50" s="18">
        <f t="shared" si="5"/>
        <v>0</v>
      </c>
    </row>
    <row r="51" spans="1:18">
      <c r="A51" s="31" t="s">
        <v>108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9">
        <f t="shared" si="4"/>
        <v>0</v>
      </c>
      <c r="R51" s="18">
        <f t="shared" si="5"/>
        <v>0</v>
      </c>
    </row>
    <row r="52" spans="1:18">
      <c r="A52" s="31" t="s">
        <v>107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9">
        <f t="shared" si="4"/>
        <v>0</v>
      </c>
      <c r="R52" s="18">
        <f t="shared" si="5"/>
        <v>0</v>
      </c>
    </row>
    <row r="53" spans="1:18">
      <c r="A53" s="31" t="s">
        <v>106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9">
        <f t="shared" si="4"/>
        <v>0</v>
      </c>
      <c r="R53" s="18">
        <f t="shared" si="5"/>
        <v>0</v>
      </c>
    </row>
    <row r="54" spans="1:18">
      <c r="A54" s="31" t="s">
        <v>105</v>
      </c>
      <c r="B54" s="2">
        <v>0</v>
      </c>
      <c r="C54" s="2">
        <v>-130071000</v>
      </c>
      <c r="D54" s="2">
        <v>0</v>
      </c>
      <c r="E54" s="2">
        <v>-38079000</v>
      </c>
      <c r="F54" s="2">
        <v>0</v>
      </c>
      <c r="G54" s="2">
        <v>-8825000</v>
      </c>
      <c r="H54" s="2">
        <v>0</v>
      </c>
      <c r="I54" s="2">
        <v>-6549000</v>
      </c>
      <c r="J54" s="2">
        <v>0</v>
      </c>
      <c r="K54" s="2">
        <v>-13590000</v>
      </c>
      <c r="L54" s="2">
        <v>-34091000</v>
      </c>
      <c r="M54" s="2">
        <v>45067000</v>
      </c>
      <c r="N54" s="2">
        <v>-128307000</v>
      </c>
      <c r="O54" s="2">
        <v>42886000</v>
      </c>
      <c r="P54" s="9">
        <f t="shared" si="4"/>
        <v>-226931000</v>
      </c>
      <c r="R54" s="18">
        <f t="shared" si="5"/>
        <v>-141510000</v>
      </c>
    </row>
    <row r="55" spans="1:18">
      <c r="A55" s="31" t="s">
        <v>104</v>
      </c>
      <c r="B55" s="2">
        <v>0</v>
      </c>
      <c r="C55" s="2">
        <v>28663000</v>
      </c>
      <c r="D55" s="2">
        <v>0</v>
      </c>
      <c r="E55" s="2">
        <v>763000</v>
      </c>
      <c r="F55" s="2">
        <v>0</v>
      </c>
      <c r="G55" s="2">
        <v>21995000</v>
      </c>
      <c r="H55" s="2">
        <v>0</v>
      </c>
      <c r="I55" s="2">
        <v>673000</v>
      </c>
      <c r="J55" s="2">
        <v>0</v>
      </c>
      <c r="K55" s="2">
        <v>10741000</v>
      </c>
      <c r="L55" s="2">
        <v>5835000</v>
      </c>
      <c r="M55" s="2">
        <v>0</v>
      </c>
      <c r="N55" s="2">
        <v>0</v>
      </c>
      <c r="O55" s="2">
        <v>0</v>
      </c>
      <c r="P55" s="9">
        <f t="shared" si="4"/>
        <v>67234000</v>
      </c>
      <c r="R55" s="18">
        <f t="shared" si="5"/>
        <v>67234000</v>
      </c>
    </row>
    <row r="56" spans="1:18">
      <c r="A56" s="31" t="s">
        <v>103</v>
      </c>
      <c r="B56" s="2">
        <v>0</v>
      </c>
      <c r="C56" s="2">
        <v>-263599000</v>
      </c>
      <c r="D56" s="2">
        <v>0</v>
      </c>
      <c r="E56" s="2">
        <v>14540000</v>
      </c>
      <c r="F56" s="2">
        <v>0</v>
      </c>
      <c r="G56" s="2">
        <v>70113000</v>
      </c>
      <c r="H56" s="2">
        <v>0</v>
      </c>
      <c r="I56" s="2">
        <v>-22470000</v>
      </c>
      <c r="J56" s="2">
        <v>0</v>
      </c>
      <c r="K56" s="2">
        <v>481483000</v>
      </c>
      <c r="L56" s="2">
        <v>-312832000</v>
      </c>
      <c r="M56" s="2">
        <v>-156692000</v>
      </c>
      <c r="N56" s="2">
        <v>115000</v>
      </c>
      <c r="O56" s="2">
        <v>0</v>
      </c>
      <c r="P56" s="9">
        <f t="shared" si="4"/>
        <v>-181412000</v>
      </c>
      <c r="R56" s="18">
        <f t="shared" si="5"/>
        <v>-181527000</v>
      </c>
    </row>
    <row r="57" spans="1:18">
      <c r="A57" s="31" t="s">
        <v>224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9">
        <f t="shared" si="4"/>
        <v>0</v>
      </c>
      <c r="R57" s="18">
        <f t="shared" si="5"/>
        <v>0</v>
      </c>
    </row>
    <row r="58" spans="1:18">
      <c r="A58" s="31" t="s">
        <v>102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9">
        <f t="shared" si="4"/>
        <v>0</v>
      </c>
      <c r="R58" s="18">
        <f t="shared" si="5"/>
        <v>0</v>
      </c>
    </row>
    <row r="59" spans="1:18">
      <c r="A59" s="31" t="s">
        <v>101</v>
      </c>
      <c r="B59" s="2">
        <v>0</v>
      </c>
      <c r="C59" s="2">
        <v>2481551000</v>
      </c>
      <c r="D59" s="2">
        <v>0</v>
      </c>
      <c r="E59" s="2">
        <v>1080481000</v>
      </c>
      <c r="F59" s="2">
        <v>0</v>
      </c>
      <c r="G59" s="2">
        <v>1481891000</v>
      </c>
      <c r="H59" s="2">
        <v>0</v>
      </c>
      <c r="I59" s="2">
        <v>477199000</v>
      </c>
      <c r="J59" s="2">
        <v>0</v>
      </c>
      <c r="K59" s="2">
        <v>492427000</v>
      </c>
      <c r="L59" s="2">
        <v>589493000</v>
      </c>
      <c r="M59" s="2">
        <v>747206000</v>
      </c>
      <c r="N59" s="2">
        <v>543597000</v>
      </c>
      <c r="O59" s="2">
        <v>104523000</v>
      </c>
      <c r="P59" s="9">
        <f t="shared" si="4"/>
        <v>6440688000</v>
      </c>
      <c r="R59" s="18">
        <f t="shared" si="5"/>
        <v>5792568000</v>
      </c>
    </row>
    <row r="60" spans="1:18">
      <c r="A60" s="31" t="s">
        <v>100</v>
      </c>
      <c r="B60" s="2">
        <v>0</v>
      </c>
      <c r="C60" s="2">
        <v>666115000</v>
      </c>
      <c r="D60" s="2">
        <v>0</v>
      </c>
      <c r="E60" s="2">
        <v>942925000</v>
      </c>
      <c r="F60" s="2">
        <v>0</v>
      </c>
      <c r="G60" s="2">
        <v>-30264000</v>
      </c>
      <c r="H60" s="2">
        <v>0</v>
      </c>
      <c r="I60" s="2">
        <v>-6536000</v>
      </c>
      <c r="J60" s="2">
        <v>0</v>
      </c>
      <c r="K60" s="2">
        <v>-979147000</v>
      </c>
      <c r="L60" s="2">
        <v>-329483000</v>
      </c>
      <c r="M60" s="2">
        <v>-161460000</v>
      </c>
      <c r="N60" s="2">
        <v>420162000</v>
      </c>
      <c r="O60" s="2">
        <v>-18100000</v>
      </c>
      <c r="P60" s="9">
        <f t="shared" si="4"/>
        <v>-432177000</v>
      </c>
      <c r="R60" s="18">
        <f t="shared" si="5"/>
        <v>-834239000</v>
      </c>
    </row>
    <row r="61" spans="1:18">
      <c r="A61" s="31" t="s">
        <v>99</v>
      </c>
      <c r="B61" s="2">
        <v>0</v>
      </c>
      <c r="C61" s="2">
        <v>176697000</v>
      </c>
      <c r="D61" s="2">
        <v>0</v>
      </c>
      <c r="E61" s="2">
        <v>-29171000</v>
      </c>
      <c r="F61" s="2">
        <v>0</v>
      </c>
      <c r="G61" s="2">
        <v>76633000</v>
      </c>
      <c r="H61" s="2">
        <v>0</v>
      </c>
      <c r="I61" s="2">
        <v>-198445000</v>
      </c>
      <c r="J61" s="2">
        <v>0</v>
      </c>
      <c r="K61" s="2">
        <v>158756000</v>
      </c>
      <c r="L61" s="2">
        <v>-99137000</v>
      </c>
      <c r="M61" s="2">
        <v>193342000</v>
      </c>
      <c r="N61" s="2">
        <v>174120000</v>
      </c>
      <c r="O61" s="2">
        <v>-278201000</v>
      </c>
      <c r="P61" s="9">
        <f t="shared" si="4"/>
        <v>402210000</v>
      </c>
      <c r="R61" s="18">
        <f t="shared" si="5"/>
        <v>506291000</v>
      </c>
    </row>
    <row r="62" spans="1:18">
      <c r="A62" s="31" t="s">
        <v>98</v>
      </c>
      <c r="B62" s="2">
        <v>0</v>
      </c>
      <c r="C62" s="2">
        <v>-65540000</v>
      </c>
      <c r="D62" s="2">
        <v>0</v>
      </c>
      <c r="E62" s="2">
        <v>-177275000</v>
      </c>
      <c r="F62" s="2">
        <v>0</v>
      </c>
      <c r="G62" s="2">
        <v>224045000</v>
      </c>
      <c r="H62" s="2">
        <v>0</v>
      </c>
      <c r="I62" s="2">
        <v>-10499000</v>
      </c>
      <c r="J62" s="2">
        <v>0</v>
      </c>
      <c r="K62" s="2">
        <v>-96976000</v>
      </c>
      <c r="L62" s="2">
        <v>48455000</v>
      </c>
      <c r="M62" s="2">
        <v>-7961000</v>
      </c>
      <c r="N62" s="2">
        <v>91305000</v>
      </c>
      <c r="O62" s="2">
        <v>871000</v>
      </c>
      <c r="P62" s="9">
        <f t="shared" si="4"/>
        <v>194199000</v>
      </c>
      <c r="R62" s="18">
        <f t="shared" si="5"/>
        <v>102023000</v>
      </c>
    </row>
    <row r="63" spans="1:18">
      <c r="A63" s="31" t="s">
        <v>97</v>
      </c>
      <c r="B63" s="2">
        <v>0</v>
      </c>
      <c r="C63" s="2">
        <v>78377000</v>
      </c>
      <c r="D63" s="2">
        <v>0</v>
      </c>
      <c r="E63" s="2">
        <v>3418740000</v>
      </c>
      <c r="F63" s="2">
        <v>0</v>
      </c>
      <c r="G63" s="2">
        <v>-6480255000</v>
      </c>
      <c r="H63" s="2">
        <v>0</v>
      </c>
      <c r="I63" s="2">
        <v>-10111891000</v>
      </c>
      <c r="J63" s="2">
        <v>0</v>
      </c>
      <c r="K63" s="2">
        <v>-26968993000</v>
      </c>
      <c r="L63" s="2">
        <v>-5005534000</v>
      </c>
      <c r="M63" s="2">
        <v>-3673513000</v>
      </c>
      <c r="N63" s="2">
        <v>-2065146000</v>
      </c>
      <c r="O63" s="2">
        <v>-7477141000</v>
      </c>
      <c r="P63" s="9">
        <f t="shared" si="4"/>
        <v>-51592205000</v>
      </c>
      <c r="R63" s="18">
        <f t="shared" si="5"/>
        <v>-42049918000</v>
      </c>
    </row>
    <row r="64" spans="1:18">
      <c r="A64" s="31" t="s">
        <v>96</v>
      </c>
      <c r="B64" s="2">
        <v>0</v>
      </c>
      <c r="C64" s="2">
        <v>11004634000</v>
      </c>
      <c r="D64" s="2">
        <v>0</v>
      </c>
      <c r="E64" s="2">
        <v>26747643000</v>
      </c>
      <c r="F64" s="2">
        <v>0</v>
      </c>
      <c r="G64" s="2">
        <v>-6059039000</v>
      </c>
      <c r="H64" s="2">
        <v>0</v>
      </c>
      <c r="I64" s="2">
        <v>1179360000</v>
      </c>
      <c r="J64" s="2">
        <v>0</v>
      </c>
      <c r="K64" s="2">
        <v>-2494859000</v>
      </c>
      <c r="L64" s="2">
        <v>-5739978000</v>
      </c>
      <c r="M64" s="2">
        <v>2945946000</v>
      </c>
      <c r="N64" s="2">
        <v>-5367129000</v>
      </c>
      <c r="O64" s="2">
        <v>-46015656000</v>
      </c>
      <c r="P64" s="9">
        <f t="shared" si="4"/>
        <v>-51726081000</v>
      </c>
      <c r="R64" s="18">
        <f t="shared" si="5"/>
        <v>-343296000</v>
      </c>
    </row>
    <row r="65" spans="1:24">
      <c r="A65" s="31" t="s">
        <v>95</v>
      </c>
      <c r="B65" s="2">
        <v>0</v>
      </c>
      <c r="C65" s="2">
        <v>1132247000</v>
      </c>
      <c r="D65" s="2">
        <v>0</v>
      </c>
      <c r="E65" s="2">
        <v>-15936227000</v>
      </c>
      <c r="F65" s="2">
        <v>0</v>
      </c>
      <c r="G65" s="2">
        <v>64503000</v>
      </c>
      <c r="H65" s="2">
        <v>0</v>
      </c>
      <c r="I65" s="2">
        <v>-6369471000</v>
      </c>
      <c r="J65" s="2">
        <v>0</v>
      </c>
      <c r="K65" s="2">
        <v>13256271000</v>
      </c>
      <c r="L65" s="2">
        <v>-3715124000</v>
      </c>
      <c r="M65" s="2">
        <v>-16031123000</v>
      </c>
      <c r="N65" s="2">
        <v>6825082000</v>
      </c>
      <c r="O65" s="2">
        <v>41478251000</v>
      </c>
      <c r="P65" s="9">
        <f t="shared" si="4"/>
        <v>43010107000</v>
      </c>
      <c r="R65" s="18">
        <f t="shared" si="5"/>
        <v>-5293226000</v>
      </c>
    </row>
    <row r="66" spans="1:24">
      <c r="A66" s="31" t="s">
        <v>94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9">
        <f t="shared" si="4"/>
        <v>0</v>
      </c>
      <c r="R66" s="18">
        <f t="shared" si="5"/>
        <v>0</v>
      </c>
    </row>
    <row r="67" spans="1:24">
      <c r="A67" s="31" t="s">
        <v>93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9">
        <f t="shared" si="4"/>
        <v>0</v>
      </c>
      <c r="R67" s="18">
        <f t="shared" si="5"/>
        <v>0</v>
      </c>
    </row>
    <row r="68" spans="1:24">
      <c r="A68" s="31" t="s">
        <v>92</v>
      </c>
      <c r="B68" s="2">
        <v>0</v>
      </c>
      <c r="C68" s="2">
        <v>559209000</v>
      </c>
      <c r="D68" s="2">
        <v>0</v>
      </c>
      <c r="E68" s="2">
        <v>257156000</v>
      </c>
      <c r="F68" s="2">
        <v>0</v>
      </c>
      <c r="G68" s="2">
        <v>221533000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9">
        <f t="shared" si="4"/>
        <v>780742000</v>
      </c>
      <c r="R68" s="18">
        <f t="shared" si="5"/>
        <v>780742000</v>
      </c>
    </row>
    <row r="69" spans="1:24">
      <c r="A69" s="4" t="s">
        <v>91</v>
      </c>
      <c r="B69" s="2">
        <v>0</v>
      </c>
      <c r="C69" s="2">
        <v>43083729000</v>
      </c>
      <c r="D69" s="2">
        <v>0</v>
      </c>
      <c r="E69" s="2">
        <v>26585371000</v>
      </c>
      <c r="F69" s="2">
        <v>0</v>
      </c>
      <c r="G69" s="2">
        <v>15365627000</v>
      </c>
      <c r="H69" s="2">
        <v>0</v>
      </c>
      <c r="I69" s="2">
        <v>-5400762000</v>
      </c>
      <c r="J69" s="2">
        <v>0</v>
      </c>
      <c r="K69" s="2">
        <v>8724585000</v>
      </c>
      <c r="L69" s="2">
        <v>7693738000</v>
      </c>
      <c r="M69" s="2">
        <v>6439287000</v>
      </c>
      <c r="N69" s="2">
        <v>22005587000</v>
      </c>
      <c r="O69" s="2">
        <v>8513807000</v>
      </c>
      <c r="P69" s="9">
        <f t="shared" si="4"/>
        <v>111826360000</v>
      </c>
      <c r="R69" s="18">
        <f t="shared" si="5"/>
        <v>81306966000</v>
      </c>
    </row>
    <row r="70" spans="1:24">
      <c r="A70" t="s">
        <v>90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9">
        <f t="shared" si="4"/>
        <v>0</v>
      </c>
      <c r="R70" s="18">
        <f t="shared" si="5"/>
        <v>0</v>
      </c>
    </row>
    <row r="71" spans="1:24">
      <c r="A71" t="s">
        <v>89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9">
        <f t="shared" si="4"/>
        <v>0</v>
      </c>
      <c r="R71" s="18">
        <f t="shared" si="5"/>
        <v>0</v>
      </c>
    </row>
    <row r="72" spans="1:24">
      <c r="A72" t="s">
        <v>88</v>
      </c>
      <c r="B72" s="2">
        <v>0</v>
      </c>
      <c r="C72" s="2">
        <v>1104095000</v>
      </c>
      <c r="D72" s="2">
        <v>0</v>
      </c>
      <c r="E72" s="2">
        <v>0</v>
      </c>
      <c r="F72" s="2">
        <v>0</v>
      </c>
      <c r="G72" s="2">
        <v>1610761000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9">
        <f t="shared" si="4"/>
        <v>2714856000</v>
      </c>
      <c r="R72" s="18">
        <f t="shared" si="5"/>
        <v>2714856000</v>
      </c>
    </row>
    <row r="73" spans="1:24">
      <c r="A73" t="s">
        <v>87</v>
      </c>
      <c r="B73" s="2">
        <v>0</v>
      </c>
      <c r="C73" s="2">
        <v>83351894000</v>
      </c>
      <c r="D73" s="2">
        <v>0</v>
      </c>
      <c r="E73" s="2">
        <v>83540965000</v>
      </c>
      <c r="F73" s="2">
        <v>0</v>
      </c>
      <c r="G73" s="2">
        <v>69166502000</v>
      </c>
      <c r="H73" s="2">
        <v>0</v>
      </c>
      <c r="I73" s="2">
        <v>76503782000</v>
      </c>
      <c r="J73" s="2">
        <v>0</v>
      </c>
      <c r="K73" s="2">
        <v>81071137000</v>
      </c>
      <c r="L73" s="2">
        <v>75293257000</v>
      </c>
      <c r="M73" s="2">
        <v>66571627000</v>
      </c>
      <c r="N73" s="2">
        <v>60133266000</v>
      </c>
      <c r="O73" s="2">
        <v>14185257000</v>
      </c>
      <c r="P73" s="9">
        <f t="shared" si="4"/>
        <v>449772940000</v>
      </c>
      <c r="R73" s="18">
        <f t="shared" si="5"/>
        <v>375454417000</v>
      </c>
    </row>
    <row r="74" spans="1:24">
      <c r="A74" t="s">
        <v>86</v>
      </c>
      <c r="B74" s="2">
        <v>0</v>
      </c>
      <c r="C74" s="2">
        <v>69166502000</v>
      </c>
      <c r="D74" s="2">
        <v>0</v>
      </c>
      <c r="E74" s="2">
        <v>69166502000</v>
      </c>
      <c r="F74" s="2">
        <v>0</v>
      </c>
      <c r="G74" s="2">
        <v>81071137000</v>
      </c>
      <c r="H74" s="2">
        <v>0</v>
      </c>
      <c r="I74" s="2">
        <v>81071137000</v>
      </c>
      <c r="J74" s="2">
        <v>0</v>
      </c>
      <c r="K74" s="2">
        <v>75293257000</v>
      </c>
      <c r="L74" s="2">
        <v>66571627000</v>
      </c>
      <c r="M74" s="2">
        <v>60133266000</v>
      </c>
      <c r="N74" s="2">
        <v>14185257000</v>
      </c>
      <c r="O74" s="2">
        <v>4836892000</v>
      </c>
      <c r="P74" s="9">
        <f t="shared" si="4"/>
        <v>371257938000</v>
      </c>
      <c r="R74" s="18">
        <f t="shared" si="5"/>
        <v>352235789000</v>
      </c>
    </row>
    <row r="75" spans="1:24">
      <c r="A75" t="s">
        <v>85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9">
        <f t="shared" si="4"/>
        <v>0</v>
      </c>
      <c r="R75" s="18">
        <f t="shared" si="5"/>
        <v>0</v>
      </c>
    </row>
    <row r="76" spans="1:24">
      <c r="A76" t="s">
        <v>84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9">
        <f t="shared" si="4"/>
        <v>0</v>
      </c>
      <c r="R76" s="18">
        <f t="shared" si="5"/>
        <v>0</v>
      </c>
    </row>
    <row r="77" spans="1:24">
      <c r="A77" t="s">
        <v>83</v>
      </c>
      <c r="B77" s="2">
        <v>0</v>
      </c>
      <c r="C77" s="2">
        <v>14185392000</v>
      </c>
      <c r="D77" s="2">
        <v>0</v>
      </c>
      <c r="E77" s="2">
        <v>14374463000</v>
      </c>
      <c r="F77" s="2">
        <v>0</v>
      </c>
      <c r="G77" s="2">
        <v>-11904635000</v>
      </c>
      <c r="H77" s="2">
        <v>0</v>
      </c>
      <c r="I77" s="2">
        <v>-4567355000</v>
      </c>
      <c r="J77" s="2">
        <v>0</v>
      </c>
      <c r="K77" s="2">
        <v>5777880000</v>
      </c>
      <c r="L77" s="2">
        <v>8721630000</v>
      </c>
      <c r="M77" s="2">
        <v>6438361000</v>
      </c>
      <c r="N77" s="2">
        <v>45948009000</v>
      </c>
      <c r="O77" s="2">
        <v>9348365000</v>
      </c>
      <c r="P77" s="9">
        <f t="shared" si="4"/>
        <v>78515002000</v>
      </c>
      <c r="R77" s="18">
        <f t="shared" si="5"/>
        <v>23218628000</v>
      </c>
    </row>
    <row r="78" spans="1:2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24" s="5" customFormat="1">
      <c r="A79" s="5" t="s">
        <v>225</v>
      </c>
      <c r="B79" s="21">
        <f>B13-B21</f>
        <v>2392276000</v>
      </c>
      <c r="C79" s="21">
        <f t="shared" ref="C79:E79" si="6">C13-C21</f>
        <v>33894031000</v>
      </c>
      <c r="D79" s="21">
        <f t="shared" si="6"/>
        <v>26093727000</v>
      </c>
      <c r="E79" s="21">
        <f t="shared" si="6"/>
        <v>22530241000</v>
      </c>
      <c r="F79" s="21">
        <f>F13-F21</f>
        <v>18561692000</v>
      </c>
      <c r="G79" s="21">
        <f t="shared" ref="G79:L79" si="7">G13-G21</f>
        <v>7272337000</v>
      </c>
      <c r="H79" s="21">
        <f t="shared" si="7"/>
        <v>-6933228000</v>
      </c>
      <c r="I79" s="21">
        <f t="shared" si="7"/>
        <v>-7993238000</v>
      </c>
      <c r="J79" s="21">
        <f t="shared" si="7"/>
        <v>386210000</v>
      </c>
      <c r="K79" s="21">
        <f t="shared" si="7"/>
        <v>2689270000</v>
      </c>
      <c r="L79" s="21">
        <f t="shared" si="7"/>
        <v>4087457000</v>
      </c>
      <c r="M79" s="21">
        <f>M13-M21</f>
        <v>3380861000</v>
      </c>
      <c r="N79" s="21">
        <f>N13-N21</f>
        <v>18325099000</v>
      </c>
      <c r="O79" s="21">
        <f>O13-O21</f>
        <v>7578146000</v>
      </c>
      <c r="P79" s="21">
        <f t="shared" ref="P79:R79" si="8">P13-P21</f>
        <v>77227201000</v>
      </c>
      <c r="Q79" s="21"/>
      <c r="R79" s="21">
        <f t="shared" si="8"/>
        <v>51323956000</v>
      </c>
      <c r="S79" s="21"/>
      <c r="T79" s="21"/>
      <c r="U79" s="21"/>
      <c r="V79" s="21"/>
      <c r="W79" s="21"/>
      <c r="X79" s="21"/>
    </row>
    <row r="80" spans="1:24">
      <c r="A80" t="s">
        <v>226</v>
      </c>
      <c r="B80" s="33">
        <f>B45+B49+B48+B50+B51-B21</f>
        <v>-2812894000</v>
      </c>
      <c r="C80" s="33">
        <f>C45+C49+C48+C50+C51-C21</f>
        <v>16821264000</v>
      </c>
      <c r="D80" s="33"/>
      <c r="E80" s="33">
        <f>E45+E49+E48+E50+E51-E21</f>
        <v>5707347000</v>
      </c>
      <c r="F80" s="33"/>
      <c r="G80" s="33">
        <f>G45+G49+G48+G50+G51-G21</f>
        <v>16279505000</v>
      </c>
      <c r="H80" s="33"/>
      <c r="I80" s="33"/>
      <c r="J80" s="33"/>
      <c r="K80" s="33">
        <f>K45+K49+K48+K50+K51-K21</f>
        <v>16912663000</v>
      </c>
      <c r="L80" s="33">
        <f t="shared" ref="L80:O80" si="9">L45+L49+L48+L50+L51-L21</f>
        <v>17586345000</v>
      </c>
      <c r="M80" s="33">
        <f t="shared" si="9"/>
        <v>18795674000</v>
      </c>
      <c r="N80" s="33">
        <f t="shared" si="9"/>
        <v>17831300000</v>
      </c>
      <c r="O80" s="33">
        <f t="shared" si="9"/>
        <v>19740713000</v>
      </c>
      <c r="P80" s="33">
        <f>P45+P49+P48+P50+P51-P21</f>
        <v>123967464000</v>
      </c>
    </row>
    <row r="81" spans="2:1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2:1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2:1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2:1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2:1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2:1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2:1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2:1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2:1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2:1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2:1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2:1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2:1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2:1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2:1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</sheetData>
  <mergeCells count="2">
    <mergeCell ref="Q28:Q29"/>
    <mergeCell ref="Q35:Q36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39"/>
  <sheetViews>
    <sheetView workbookViewId="0">
      <pane xSplit="1" ySplit="1" topLeftCell="B88" activePane="bottomRight" state="frozen"/>
      <selection activeCell="B105" sqref="B105"/>
      <selection pane="topRight" activeCell="B105" sqref="B105"/>
      <selection pane="bottomLeft" activeCell="B105" sqref="B105"/>
      <selection pane="bottomRight" activeCell="B105" sqref="B105"/>
    </sheetView>
  </sheetViews>
  <sheetFormatPr baseColWidth="10" defaultColWidth="8.83203125" defaultRowHeight="15"/>
  <cols>
    <col min="1" max="1" width="48.1640625" style="40" bestFit="1" customWidth="1"/>
    <col min="2" max="2" width="17" style="40" bestFit="1" customWidth="1"/>
    <col min="3" max="6" width="17" style="44" bestFit="1" customWidth="1"/>
    <col min="7" max="7" width="16.33203125" style="44" bestFit="1" customWidth="1"/>
    <col min="8" max="8" width="16.33203125" style="44" customWidth="1"/>
    <col min="9" max="9" width="19.6640625" style="44" bestFit="1" customWidth="1"/>
    <col min="10" max="10" width="19.6640625" style="40" bestFit="1" customWidth="1"/>
    <col min="11" max="16384" width="8.83203125" style="44"/>
  </cols>
  <sheetData>
    <row r="1" spans="1:10">
      <c r="A1" s="40" t="s">
        <v>0</v>
      </c>
      <c r="B1" s="41">
        <v>20231231</v>
      </c>
      <c r="C1" s="41">
        <v>20221231</v>
      </c>
      <c r="D1" s="41">
        <v>20211231</v>
      </c>
      <c r="E1" s="41">
        <v>20201231</v>
      </c>
      <c r="F1" s="41">
        <v>20191231</v>
      </c>
      <c r="G1" s="41">
        <v>20181231</v>
      </c>
      <c r="H1" s="41">
        <v>20171231</v>
      </c>
      <c r="I1" s="42" t="s">
        <v>228</v>
      </c>
      <c r="J1" s="43" t="s">
        <v>219</v>
      </c>
    </row>
    <row r="2" spans="1:10">
      <c r="A2" s="40" t="s">
        <v>1</v>
      </c>
      <c r="I2" s="45" t="s">
        <v>221</v>
      </c>
      <c r="J2" s="46" t="s">
        <v>222</v>
      </c>
    </row>
    <row r="3" spans="1:10" ht="16">
      <c r="A3" s="40" t="s">
        <v>229</v>
      </c>
    </row>
    <row r="4" spans="1:10" ht="16">
      <c r="A4" s="47" t="s">
        <v>230</v>
      </c>
      <c r="B4" s="48">
        <f>工业富联资产负债表!C4-工业富联资产负债表!G4</f>
        <v>14032483000</v>
      </c>
      <c r="C4" s="48">
        <f>工业富联资产负债表!G4-工业富联资产负债表!K4</f>
        <v>-13447214000</v>
      </c>
      <c r="D4" s="48">
        <f>工业富联资产负债表!K4-工业富联资产负债表!L4</f>
        <v>4820449000</v>
      </c>
      <c r="E4" s="48">
        <f>工业富联资产负债表!L4-工业富联资产负债表!M4</f>
        <v>11155469000</v>
      </c>
      <c r="F4" s="48">
        <f>工业富联资产负债表!M4-工业富联资产负债表!N4</f>
        <v>4608001000</v>
      </c>
      <c r="G4" s="48">
        <f>工业富联资产负债表!N4-工业富联资产负债表!O4</f>
        <v>46774150000</v>
      </c>
      <c r="H4" s="48">
        <f>工业富联资产负债表!O4-工业富联资产负债表!P4</f>
        <v>10584438000</v>
      </c>
      <c r="I4" s="48">
        <f>SUM(B4:H4)</f>
        <v>78527776000</v>
      </c>
      <c r="J4" s="48">
        <f t="shared" ref="J4:J35" si="0">SUM(B4:F4)</f>
        <v>21169188000</v>
      </c>
    </row>
    <row r="5" spans="1:10" ht="16">
      <c r="A5" s="47" t="s">
        <v>231</v>
      </c>
      <c r="B5" s="48">
        <f>工业富联资产负债表!C5-工业富联资产负债表!G5</f>
        <v>333260000</v>
      </c>
      <c r="C5" s="48">
        <f>工业富联资产负债表!G5-工业富联资产负债表!K5</f>
        <v>0</v>
      </c>
      <c r="D5" s="48">
        <f>工业富联资产负债表!K5-工业富联资产负债表!L5</f>
        <v>0</v>
      </c>
      <c r="E5" s="48">
        <f>工业富联资产负债表!L5-工业富联资产负债表!M5</f>
        <v>0</v>
      </c>
      <c r="F5" s="48">
        <f>工业富联资产负债表!M5-工业富联资产负债表!N5</f>
        <v>0</v>
      </c>
      <c r="G5" s="48">
        <f>工业富联资产负债表!N5-工业富联资产负债表!O5</f>
        <v>0</v>
      </c>
      <c r="H5" s="48">
        <f>工业富联资产负债表!O5-工业富联资产负债表!P5</f>
        <v>0</v>
      </c>
      <c r="I5" s="48">
        <f t="shared" ref="I5:I68" si="1">SUM(B5:H5)</f>
        <v>333260000</v>
      </c>
      <c r="J5" s="48">
        <f t="shared" si="0"/>
        <v>333260000</v>
      </c>
    </row>
    <row r="6" spans="1:10" ht="16">
      <c r="A6" s="47" t="s">
        <v>232</v>
      </c>
      <c r="B6" s="48">
        <f>工业富联资产负债表!C6-工业富联资产负债表!G6</f>
        <v>263773000</v>
      </c>
      <c r="C6" s="48">
        <f>工业富联资产负债表!G6-工业富联资产负债表!K6</f>
        <v>-230393000</v>
      </c>
      <c r="D6" s="48">
        <f>工业富联资产负债表!K6-工业富联资产负债表!L6</f>
        <v>-221874000</v>
      </c>
      <c r="E6" s="48">
        <f>工业富联资产负债表!L6-工业富联资产负债表!M6</f>
        <v>310778000</v>
      </c>
      <c r="F6" s="48">
        <f>工业富联资产负债表!M6-工业富联资产负债表!N6</f>
        <v>157110000</v>
      </c>
      <c r="G6" s="48">
        <f>工业富联资产负债表!N6-工业富联资产负债表!O6</f>
        <v>0</v>
      </c>
      <c r="H6" s="48">
        <f>工业富联资产负债表!O6-工业富联资产负债表!P6</f>
        <v>0</v>
      </c>
      <c r="I6" s="48">
        <f t="shared" si="1"/>
        <v>279394000</v>
      </c>
      <c r="J6" s="48">
        <f t="shared" si="0"/>
        <v>279394000</v>
      </c>
    </row>
    <row r="7" spans="1:10" ht="16">
      <c r="A7" s="49" t="s">
        <v>233</v>
      </c>
      <c r="B7" s="48">
        <f>工业富联资产负债表!C7-工业富联资产负债表!G7</f>
        <v>-9215541000</v>
      </c>
      <c r="C7" s="48">
        <f>工业富联资产负债表!G7-工业富联资产负债表!K7</f>
        <v>10655939000</v>
      </c>
      <c r="D7" s="48">
        <f>工业富联资产负债表!K7-工业富联资产负债表!L7</f>
        <v>206248000</v>
      </c>
      <c r="E7" s="48">
        <f>工业富联资产负债表!L7-工业富联资产负债表!M7</f>
        <v>2183860000</v>
      </c>
      <c r="F7" s="48">
        <f>工业富联资产负债表!M7-工业富联资产负债表!N7</f>
        <v>-1474170000</v>
      </c>
      <c r="G7" s="48">
        <f>工业富联资产负债表!N7-工业富联资产负债表!O7</f>
        <v>7604709000</v>
      </c>
      <c r="H7" s="48">
        <f>工业富联资产负债表!O7-工业富联资产负债表!P7</f>
        <v>23939419000</v>
      </c>
      <c r="I7" s="48">
        <f t="shared" si="1"/>
        <v>33900464000</v>
      </c>
      <c r="J7" s="48">
        <f t="shared" si="0"/>
        <v>2356336000</v>
      </c>
    </row>
    <row r="8" spans="1:10" ht="16">
      <c r="A8" s="47" t="s">
        <v>234</v>
      </c>
      <c r="B8" s="48">
        <f>工业富联资产负债表!C8-工业富联资产负债表!G8</f>
        <v>-9487000</v>
      </c>
      <c r="C8" s="48">
        <f>工业富联资产负债表!G8-工业富联资产负债表!K8</f>
        <v>12716000</v>
      </c>
      <c r="D8" s="48">
        <f>工业富联资产负债表!K8-工业富联资产负债表!L8</f>
        <v>4046000</v>
      </c>
      <c r="E8" s="48">
        <f>工业富联资产负债表!L8-工业富联资产负债表!M8</f>
        <v>100000</v>
      </c>
      <c r="F8" s="48">
        <f>工业富联资产负债表!M8-工业富联资产负债表!N8</f>
        <v>-923000</v>
      </c>
      <c r="G8" s="48">
        <f>工业富联资产负债表!N8-工业富联资产负债表!O8</f>
        <v>923000</v>
      </c>
      <c r="H8" s="48">
        <f>工业富联资产负债表!O8-工业富联资产负债表!P8</f>
        <v>0</v>
      </c>
      <c r="I8" s="48">
        <f t="shared" si="1"/>
        <v>7375000</v>
      </c>
      <c r="J8" s="48">
        <f t="shared" si="0"/>
        <v>6452000</v>
      </c>
    </row>
    <row r="9" spans="1:10" ht="16">
      <c r="A9" s="50" t="s">
        <v>235</v>
      </c>
      <c r="B9" s="48">
        <f>工业富联资产负债表!C9-工业富联资产负债表!G9</f>
        <v>-9206054000</v>
      </c>
      <c r="C9" s="48">
        <f>工业富联资产负债表!G9-工业富联资产负债表!K9</f>
        <v>10643223000</v>
      </c>
      <c r="D9" s="48">
        <f>工业富联资产负债表!K9-工业富联资产负债表!L9</f>
        <v>202202000</v>
      </c>
      <c r="E9" s="48">
        <f>工业富联资产负债表!L9-工业富联资产负债表!M9</f>
        <v>2183760000</v>
      </c>
      <c r="F9" s="48">
        <f>工业富联资产负债表!M9-工业富联资产负债表!N9</f>
        <v>-1473247000</v>
      </c>
      <c r="G9" s="48">
        <f>工业富联资产负债表!N9-工业富联资产负债表!O9</f>
        <v>7603786000</v>
      </c>
      <c r="H9" s="48">
        <f>工业富联资产负债表!O9-工业富联资产负债表!P9</f>
        <v>23939419000</v>
      </c>
      <c r="I9" s="48">
        <f t="shared" si="1"/>
        <v>33893089000</v>
      </c>
      <c r="J9" s="48">
        <f t="shared" si="0"/>
        <v>2349884000</v>
      </c>
    </row>
    <row r="10" spans="1:10" ht="17">
      <c r="A10" s="51" t="s">
        <v>236</v>
      </c>
      <c r="B10" s="48">
        <f>工业富联资产负债表!C10-工业富联资产负债表!G10</f>
        <v>0</v>
      </c>
      <c r="C10" s="48">
        <f>工业富联资产负债表!G10-工业富联资产负债表!K10</f>
        <v>0</v>
      </c>
      <c r="D10" s="48">
        <f>工业富联资产负债表!K10-工业富联资产负债表!L10</f>
        <v>0</v>
      </c>
      <c r="E10" s="48">
        <f>工业富联资产负债表!L10-工业富联资产负债表!M10</f>
        <v>0</v>
      </c>
      <c r="F10" s="48">
        <f>工业富联资产负债表!M10-工业富联资产负债表!N10</f>
        <v>0</v>
      </c>
      <c r="G10" s="48">
        <f>工业富联资产负债表!N10-工业富联资产负债表!O10</f>
        <v>0</v>
      </c>
      <c r="H10" s="48">
        <f>工业富联资产负债表!O10-工业富联资产负债表!P10</f>
        <v>0</v>
      </c>
      <c r="I10" s="48">
        <f t="shared" si="1"/>
        <v>0</v>
      </c>
      <c r="J10" s="48">
        <f t="shared" si="0"/>
        <v>0</v>
      </c>
    </row>
    <row r="11" spans="1:10" ht="16">
      <c r="A11" s="40" t="s">
        <v>237</v>
      </c>
      <c r="B11" s="48">
        <f>工业富联资产负债表!C11-工业富联资产负债表!G11</f>
        <v>-97654000</v>
      </c>
      <c r="C11" s="48">
        <f>工业富联资产负债表!G11-工业富联资产负债表!K11</f>
        <v>110750000</v>
      </c>
      <c r="D11" s="48">
        <f>工业富联资产负债表!K11-工业富联资产负债表!L11</f>
        <v>70145000</v>
      </c>
      <c r="E11" s="48">
        <f>工业富联资产负债表!L11-工业富联资产负债表!M11</f>
        <v>-57370000</v>
      </c>
      <c r="F11" s="48">
        <f>工业富联资产负债表!M11-工业富联资产负债表!N11</f>
        <v>13622000</v>
      </c>
      <c r="G11" s="48">
        <f>工业富联资产负债表!N11-工业富联资产负债表!O11</f>
        <v>52702000</v>
      </c>
      <c r="H11" s="48">
        <f>工业富联资产负债表!O11-工业富联资产负债表!P11</f>
        <v>48652000</v>
      </c>
      <c r="I11" s="48">
        <f t="shared" si="1"/>
        <v>140847000</v>
      </c>
      <c r="J11" s="48">
        <f t="shared" si="0"/>
        <v>39493000</v>
      </c>
    </row>
    <row r="12" spans="1:10" ht="17">
      <c r="A12" s="52" t="s">
        <v>238</v>
      </c>
      <c r="B12" s="48">
        <f>工业富联资产负债表!C12-工业富联资产负债表!G12</f>
        <v>-1025424000</v>
      </c>
      <c r="C12" s="48">
        <f>工业富联资产负债表!G12-工业富联资产负债表!K12</f>
        <v>-637871000</v>
      </c>
      <c r="D12" s="48">
        <f>工业富联资产负债表!K12-工业富联资产负债表!L12</f>
        <v>2121025000</v>
      </c>
      <c r="E12" s="48">
        <f>工业富联资产负债表!L12-工业富联资产负债表!M12</f>
        <v>-60235000</v>
      </c>
      <c r="F12" s="48">
        <f>工业富联资产负债表!M12-工业富联资产负债表!N12</f>
        <v>-898768000</v>
      </c>
      <c r="G12" s="48">
        <f>工业富联资产负债表!N12-工业富联资产负债表!O12</f>
        <v>-1739985000</v>
      </c>
      <c r="H12" s="48">
        <f>工业富联资产负债表!O12-工业富联资产负债表!P12</f>
        <v>-29506162000</v>
      </c>
      <c r="I12" s="48">
        <f t="shared" si="1"/>
        <v>-31747420000</v>
      </c>
      <c r="J12" s="48">
        <f t="shared" si="0"/>
        <v>-501273000</v>
      </c>
    </row>
    <row r="13" spans="1:10" ht="16">
      <c r="A13" s="40" t="s">
        <v>239</v>
      </c>
      <c r="B13" s="48">
        <f>工业富联资产负债表!C13-工业富联资产负债表!G13</f>
        <v>0</v>
      </c>
      <c r="C13" s="48">
        <f>工业富联资产负债表!G13-工业富联资产负债表!K13</f>
        <v>0</v>
      </c>
      <c r="D13" s="48">
        <f>工业富联资产负债表!K13-工业富联资产负债表!L13</f>
        <v>0</v>
      </c>
      <c r="E13" s="48">
        <f>工业富联资产负债表!L13-工业富联资产负债表!M13</f>
        <v>0</v>
      </c>
      <c r="F13" s="48">
        <f>工业富联资产负债表!M13-工业富联资产负债表!N13</f>
        <v>-166075000</v>
      </c>
      <c r="G13" s="48">
        <f>工业富联资产负债表!N13-工业富联资产负债表!O13</f>
        <v>166075000</v>
      </c>
      <c r="H13" s="48">
        <f>工业富联资产负债表!O13-工业富联资产负债表!P13</f>
        <v>0</v>
      </c>
      <c r="I13" s="48">
        <f t="shared" si="1"/>
        <v>0</v>
      </c>
      <c r="J13" s="48">
        <f t="shared" si="0"/>
        <v>-166075000</v>
      </c>
    </row>
    <row r="14" spans="1:10" ht="16">
      <c r="A14" s="40" t="s">
        <v>240</v>
      </c>
      <c r="B14" s="48">
        <f>工业富联资产负债表!C14-工业富联资产负债表!G14</f>
        <v>0</v>
      </c>
      <c r="C14" s="48">
        <f>工业富联资产负债表!G14-工业富联资产负债表!K14</f>
        <v>0</v>
      </c>
      <c r="D14" s="48">
        <f>工业富联资产负债表!K14-工业富联资产负债表!L14</f>
        <v>0</v>
      </c>
      <c r="E14" s="48">
        <f>工业富联资产负债表!L14-工业富联资产负债表!M14</f>
        <v>0</v>
      </c>
      <c r="F14" s="48">
        <f>工业富联资产负债表!M14-工业富联资产负债表!N14</f>
        <v>0</v>
      </c>
      <c r="G14" s="48">
        <f>工业富联资产负债表!N14-工业富联资产负债表!O14</f>
        <v>0</v>
      </c>
      <c r="H14" s="48">
        <f>工业富联资产负债表!O14-工业富联资产负债表!P14</f>
        <v>0</v>
      </c>
      <c r="I14" s="48">
        <f t="shared" si="1"/>
        <v>0</v>
      </c>
      <c r="J14" s="48">
        <f t="shared" si="0"/>
        <v>0</v>
      </c>
    </row>
    <row r="15" spans="1:10" ht="16">
      <c r="A15" s="53" t="s">
        <v>241</v>
      </c>
      <c r="B15" s="48">
        <f>工业富联资产负债表!C15-工业富联资产负债表!G15</f>
        <v>-1025424000</v>
      </c>
      <c r="C15" s="48">
        <f>工业富联资产负债表!G15-工业富联资产负债表!K15</f>
        <v>-637871000</v>
      </c>
      <c r="D15" s="48">
        <f>工业富联资产负债表!K15-工业富联资产负债表!L15</f>
        <v>2121025000</v>
      </c>
      <c r="E15" s="48">
        <f>工业富联资产负债表!L15-工业富联资产负债表!M15</f>
        <v>-60235000</v>
      </c>
      <c r="F15" s="48">
        <f>工业富联资产负债表!M15-工业富联资产负债表!N15</f>
        <v>-767212000</v>
      </c>
      <c r="G15" s="48">
        <f>工业富联资产负债表!N15-工业富联资产负债表!O15</f>
        <v>-1871541000</v>
      </c>
      <c r="H15" s="48">
        <f>工业富联资产负债表!O15-工业富联资产负债表!P15</f>
        <v>-29506162000</v>
      </c>
      <c r="I15" s="48">
        <f t="shared" si="1"/>
        <v>-31747420000</v>
      </c>
      <c r="J15" s="48">
        <f t="shared" si="0"/>
        <v>-369717000</v>
      </c>
    </row>
    <row r="16" spans="1:10" ht="16">
      <c r="A16" s="47" t="s">
        <v>242</v>
      </c>
      <c r="B16" s="48">
        <f>工业富联资产负债表!C16-工业富联资产负债表!G16</f>
        <v>0</v>
      </c>
      <c r="C16" s="48">
        <f>工业富联资产负债表!G16-工业富联资产负债表!K16</f>
        <v>0</v>
      </c>
      <c r="D16" s="48">
        <f>工业富联资产负债表!K16-工业富联资产负债表!L16</f>
        <v>0</v>
      </c>
      <c r="E16" s="48">
        <f>工业富联资产负债表!L16-工业富联资产负债表!M16</f>
        <v>0</v>
      </c>
      <c r="F16" s="48">
        <f>工业富联资产负债表!M16-工业富联资产负债表!N16</f>
        <v>0</v>
      </c>
      <c r="G16" s="48">
        <f>工业富联资产负债表!N16-工业富联资产负债表!O16</f>
        <v>0</v>
      </c>
      <c r="H16" s="48">
        <f>工业富联资产负债表!O16-工业富联资产负债表!P16</f>
        <v>0</v>
      </c>
      <c r="I16" s="48">
        <f t="shared" si="1"/>
        <v>0</v>
      </c>
      <c r="J16" s="48">
        <f t="shared" si="0"/>
        <v>0</v>
      </c>
    </row>
    <row r="17" spans="1:10" ht="16">
      <c r="A17" s="40" t="s">
        <v>243</v>
      </c>
      <c r="B17" s="48">
        <f>工业富联资产负债表!C17-工业富联资产负债表!G17</f>
        <v>-638405000</v>
      </c>
      <c r="C17" s="48">
        <f>工业富联资产负债表!G17-工业富联资产负债表!K17</f>
        <v>5393917000</v>
      </c>
      <c r="D17" s="48">
        <f>工业富联资产负债表!K17-工业富联资产负债表!L17</f>
        <v>26573937000</v>
      </c>
      <c r="E17" s="48">
        <f>工业富联资产负债表!L17-工业富联资产负债表!M17</f>
        <v>3707949000</v>
      </c>
      <c r="F17" s="48">
        <f>工业富联资产负债表!M17-工业富联资产负债表!N17</f>
        <v>4178316000</v>
      </c>
      <c r="G17" s="48">
        <f>工业富联资产负债表!N17-工业富联资产负债表!O17</f>
        <v>1916600000</v>
      </c>
      <c r="H17" s="48">
        <f>工业富联资产负债表!O17-工业富联资产负债表!P17</f>
        <v>6989595000</v>
      </c>
      <c r="I17" s="48">
        <f t="shared" si="1"/>
        <v>48121909000</v>
      </c>
      <c r="J17" s="48">
        <f t="shared" si="0"/>
        <v>39215714000</v>
      </c>
    </row>
    <row r="18" spans="1:10" ht="16">
      <c r="A18" s="40" t="s">
        <v>244</v>
      </c>
      <c r="B18" s="48">
        <f>工业富联资产负债表!C18-工业富联资产负债表!G18</f>
        <v>0</v>
      </c>
      <c r="C18" s="48">
        <f>工业富联资产负债表!G18-工业富联资产负债表!K18</f>
        <v>0</v>
      </c>
      <c r="D18" s="48">
        <f>工业富联资产负债表!K18-工业富联资产负债表!L18</f>
        <v>0</v>
      </c>
      <c r="E18" s="48">
        <f>工业富联资产负债表!L18-工业富联资产负债表!M18</f>
        <v>0</v>
      </c>
      <c r="F18" s="48">
        <f>工业富联资产负债表!M18-工业富联资产负债表!N18</f>
        <v>0</v>
      </c>
      <c r="G18" s="48">
        <f>工业富联资产负债表!N18-工业富联资产负债表!O18</f>
        <v>0</v>
      </c>
      <c r="H18" s="48">
        <f>工业富联资产负债表!O18-工业富联资产负债表!P18</f>
        <v>0</v>
      </c>
      <c r="I18" s="48">
        <f t="shared" si="1"/>
        <v>0</v>
      </c>
      <c r="J18" s="48">
        <f t="shared" si="0"/>
        <v>0</v>
      </c>
    </row>
    <row r="19" spans="1:10" ht="16">
      <c r="A19" s="40" t="s">
        <v>245</v>
      </c>
      <c r="B19" s="48">
        <f>工业富联资产负债表!C19-工业富联资产负债表!G19</f>
        <v>-10000000</v>
      </c>
      <c r="C19" s="48">
        <f>工业富联资产负债表!G19-工业富联资产负债表!K19</f>
        <v>-21518000</v>
      </c>
      <c r="D19" s="48">
        <f>工业富联资产负债表!K19-工业富联资产负债表!L19</f>
        <v>31518000</v>
      </c>
      <c r="E19" s="48">
        <f>工业富联资产负债表!L19-工业富联资产负债表!M19</f>
        <v>0</v>
      </c>
      <c r="F19" s="48">
        <f>工业富联资产负债表!M19-工业富联资产负债表!N19</f>
        <v>0</v>
      </c>
      <c r="G19" s="48">
        <f>工业富联资产负债表!N19-工业富联资产负债表!O19</f>
        <v>0</v>
      </c>
      <c r="H19" s="48">
        <f>工业富联资产负债表!O19-工业富联资产负债表!P19</f>
        <v>0</v>
      </c>
      <c r="I19" s="48">
        <f t="shared" si="1"/>
        <v>0</v>
      </c>
      <c r="J19" s="48">
        <f t="shared" si="0"/>
        <v>0</v>
      </c>
    </row>
    <row r="20" spans="1:10" ht="16">
      <c r="A20" s="40" t="s">
        <v>246</v>
      </c>
      <c r="B20" s="48">
        <f>工业富联资产负债表!C20-工业富联资产负债表!G20</f>
        <v>0</v>
      </c>
      <c r="C20" s="48">
        <f>工业富联资产负债表!G20-工业富联资产负债表!K20</f>
        <v>0</v>
      </c>
      <c r="D20" s="48">
        <f>工业富联资产负债表!K20-工业富联资产负债表!L20</f>
        <v>0</v>
      </c>
      <c r="E20" s="48">
        <f>工业富联资产负债表!L20-工业富联资产负债表!M20</f>
        <v>0</v>
      </c>
      <c r="F20" s="48">
        <f>工业富联资产负债表!M20-工业富联资产负债表!N20</f>
        <v>0</v>
      </c>
      <c r="G20" s="48">
        <f>工业富联资产负债表!N20-工业富联资产负债表!O20</f>
        <v>0</v>
      </c>
      <c r="H20" s="48">
        <f>工业富联资产负债表!O20-工业富联资产负债表!P20</f>
        <v>0</v>
      </c>
      <c r="I20" s="48">
        <f t="shared" si="1"/>
        <v>0</v>
      </c>
      <c r="J20" s="48">
        <f t="shared" si="0"/>
        <v>0</v>
      </c>
    </row>
    <row r="21" spans="1:10" ht="16">
      <c r="A21" s="40" t="s">
        <v>247</v>
      </c>
      <c r="B21" s="48">
        <f>工业富联资产负债表!C21-工业富联资产负债表!G21</f>
        <v>0</v>
      </c>
      <c r="C21" s="48">
        <f>工业富联资产负债表!G21-工业富联资产负债表!K21</f>
        <v>0</v>
      </c>
      <c r="D21" s="48">
        <f>工业富联资产负债表!K21-工业富联资产负债表!L21</f>
        <v>0</v>
      </c>
      <c r="E21" s="48">
        <f>工业富联资产负债表!L21-工业富联资产负债表!M21</f>
        <v>0</v>
      </c>
      <c r="F21" s="48">
        <f>工业富联资产负债表!M21-工业富联资产负债表!N21</f>
        <v>0</v>
      </c>
      <c r="G21" s="48">
        <f>工业富联资产负债表!N21-工业富联资产负债表!O21</f>
        <v>0</v>
      </c>
      <c r="H21" s="48">
        <f>工业富联资产负债表!O21-工业富联资产负债表!P21</f>
        <v>0</v>
      </c>
      <c r="I21" s="48">
        <f t="shared" si="1"/>
        <v>0</v>
      </c>
      <c r="J21" s="48">
        <f t="shared" si="0"/>
        <v>0</v>
      </c>
    </row>
    <row r="22" spans="1:10" ht="16">
      <c r="A22" s="47" t="s">
        <v>248</v>
      </c>
      <c r="B22" s="48">
        <f>工业富联资产负债表!C22-工业富联资产负债表!G22</f>
        <v>-103893000</v>
      </c>
      <c r="C22" s="48">
        <f>工业富联资产负债表!G22-工业富联资产负债表!K22</f>
        <v>-42127000</v>
      </c>
      <c r="D22" s="48">
        <f>工业富联资产负债表!K22-工业富联资产负债表!L22</f>
        <v>302987000</v>
      </c>
      <c r="E22" s="48">
        <f>工业富联资产负债表!L22-工业富联资产负债表!M22</f>
        <v>323366000</v>
      </c>
      <c r="F22" s="48">
        <f>工业富联资产负债表!M22-工业富联资产负债表!N22</f>
        <v>-821303000</v>
      </c>
      <c r="G22" s="48">
        <f>工业富联资产负债表!N22-工业富联资产负债表!O22</f>
        <v>-1351358000</v>
      </c>
      <c r="H22" s="48">
        <f>工业富联资产负债表!O22-工业富联资产负债表!P22</f>
        <v>2697488000</v>
      </c>
      <c r="I22" s="48">
        <f t="shared" si="1"/>
        <v>1005160000</v>
      </c>
      <c r="J22" s="48">
        <f t="shared" si="0"/>
        <v>-340970000</v>
      </c>
    </row>
    <row r="23" spans="1:10" ht="16">
      <c r="A23" s="54" t="s">
        <v>249</v>
      </c>
      <c r="B23" s="48">
        <f>工业富联资产负债表!C23-工业富联资产负债表!G23</f>
        <v>3538599000</v>
      </c>
      <c r="C23" s="48">
        <f>工业富联资产负债表!G23-工业富联资产负债表!K23</f>
        <v>1781483000</v>
      </c>
      <c r="D23" s="48">
        <f>工业富联资产负债表!K23-工业富联资产负债表!L23</f>
        <v>33904435000</v>
      </c>
      <c r="E23" s="48">
        <f>工业富联资产负债表!L23-工业富联资产负债表!M23</f>
        <v>17563817000</v>
      </c>
      <c r="F23" s="48">
        <f>工业富联资产负债表!M23-工业富联资产负债表!N23</f>
        <v>5762808000</v>
      </c>
      <c r="G23" s="48">
        <f>工业富联资产负债表!N23-工业富联资产负债表!O23</f>
        <v>53256818000</v>
      </c>
      <c r="H23" s="48">
        <f>工业富联资产负债表!O23-工业富联资产负债表!P23</f>
        <v>14753430000</v>
      </c>
      <c r="I23" s="48">
        <f t="shared" si="1"/>
        <v>130561390000</v>
      </c>
      <c r="J23" s="48">
        <f t="shared" si="0"/>
        <v>62551142000</v>
      </c>
    </row>
    <row r="24" spans="1:10" ht="16">
      <c r="A24" s="40" t="s">
        <v>250</v>
      </c>
      <c r="B24" s="48">
        <f>工业富联资产负债表!C24-工业富联资产负债表!G24</f>
        <v>0</v>
      </c>
      <c r="C24" s="48">
        <f>工业富联资产负债表!G24-工业富联资产负债表!K24</f>
        <v>0</v>
      </c>
      <c r="D24" s="48">
        <f>工业富联资产负债表!K24-工业富联资产负债表!L24</f>
        <v>0</v>
      </c>
      <c r="E24" s="48">
        <f>工业富联资产负债表!L24-工业富联资产负债表!M24</f>
        <v>0</v>
      </c>
      <c r="F24" s="48">
        <f>工业富联资产负债表!M24-工业富联资产负债表!N24</f>
        <v>0</v>
      </c>
      <c r="G24" s="48">
        <f>工业富联资产负债表!N24-工业富联资产负债表!O24</f>
        <v>0</v>
      </c>
      <c r="H24" s="48">
        <f>工业富联资产负债表!O24-工业富联资产负债表!P24</f>
        <v>0</v>
      </c>
      <c r="I24" s="48">
        <f t="shared" si="1"/>
        <v>0</v>
      </c>
      <c r="J24" s="48">
        <f t="shared" si="0"/>
        <v>0</v>
      </c>
    </row>
    <row r="25" spans="1:10" ht="16">
      <c r="A25" s="40" t="s">
        <v>251</v>
      </c>
      <c r="B25" s="48">
        <f>工业富联资产负债表!C25-工业富联资产负债表!G25</f>
        <v>0</v>
      </c>
      <c r="C25" s="48">
        <f>工业富联资产负债表!G25-工业富联资产负债表!K25</f>
        <v>0</v>
      </c>
      <c r="D25" s="48">
        <f>工业富联资产负债表!K25-工业富联资产负债表!L25</f>
        <v>0</v>
      </c>
      <c r="E25" s="48">
        <f>工业富联资产负债表!L25-工业富联资产负债表!M25</f>
        <v>0</v>
      </c>
      <c r="F25" s="48">
        <f>工业富联资产负债表!M25-工业富联资产负债表!N25</f>
        <v>0</v>
      </c>
      <c r="G25" s="48">
        <f>工业富联资产负债表!N25-工业富联资产负债表!O25</f>
        <v>0</v>
      </c>
      <c r="H25" s="48">
        <f>工业富联资产负债表!O25-工业富联资产负债表!P25</f>
        <v>0</v>
      </c>
      <c r="I25" s="48">
        <f t="shared" si="1"/>
        <v>0</v>
      </c>
      <c r="J25" s="48">
        <f t="shared" si="0"/>
        <v>0</v>
      </c>
    </row>
    <row r="26" spans="1:10" ht="16">
      <c r="A26" s="40" t="s">
        <v>252</v>
      </c>
      <c r="B26" s="48">
        <f>工业富联资产负债表!C26-工业富联资产负债表!G26</f>
        <v>354606000</v>
      </c>
      <c r="C26" s="48">
        <f>工业富联资产负债表!G26-工业富联资产负债表!K26</f>
        <v>259510000</v>
      </c>
      <c r="D26" s="48">
        <f>工业富联资产负债表!K26-工业富联资产负债表!L26</f>
        <v>128747000</v>
      </c>
      <c r="E26" s="48">
        <f>工业富联资产负债表!L26-工业富联资产负债表!M26</f>
        <v>0</v>
      </c>
      <c r="F26" s="48">
        <f>工业富联资产负债表!M26-工业富联资产负债表!N26</f>
        <v>-40760000</v>
      </c>
      <c r="G26" s="48">
        <f>工业富联资产负债表!N26-工业富联资产负债表!O26</f>
        <v>37760000</v>
      </c>
      <c r="H26" s="48">
        <f>工业富联资产负债表!O26-工业富联资产负债表!P26</f>
        <v>-43392000</v>
      </c>
      <c r="I26" s="48">
        <f t="shared" si="1"/>
        <v>696471000</v>
      </c>
      <c r="J26" s="48">
        <f t="shared" si="0"/>
        <v>702103000</v>
      </c>
    </row>
    <row r="27" spans="1:10" ht="16">
      <c r="A27" s="40" t="s">
        <v>253</v>
      </c>
      <c r="B27" s="48">
        <f>工业富联资产负债表!C27-工业富联资产负债表!G27</f>
        <v>0</v>
      </c>
      <c r="C27" s="48">
        <f>工业富联资产负债表!G27-工业富联资产负债表!K27</f>
        <v>0</v>
      </c>
      <c r="D27" s="48">
        <f>工业富联资产负债表!K27-工业富联资产负债表!L27</f>
        <v>0</v>
      </c>
      <c r="E27" s="48">
        <f>工业富联资产负债表!L27-工业富联资产负债表!M27</f>
        <v>0</v>
      </c>
      <c r="F27" s="48">
        <f>工业富联资产负债表!M27-工业富联资产负债表!N27</f>
        <v>0</v>
      </c>
      <c r="G27" s="48">
        <f>工业富联资产负债表!N27-工业富联资产负债表!O27</f>
        <v>0</v>
      </c>
      <c r="H27" s="48">
        <f>工业富联资产负债表!O27-工业富联资产负债表!P27</f>
        <v>0</v>
      </c>
      <c r="I27" s="48">
        <f t="shared" si="1"/>
        <v>0</v>
      </c>
      <c r="J27" s="48">
        <f t="shared" si="0"/>
        <v>0</v>
      </c>
    </row>
    <row r="28" spans="1:10" ht="16">
      <c r="A28" s="40" t="s">
        <v>254</v>
      </c>
      <c r="B28" s="48">
        <f>工业富联资产负债表!C28-工业富联资产负债表!G28</f>
        <v>62982000</v>
      </c>
      <c r="C28" s="48">
        <f>工业富联资产负债表!G28-工业富联资产负债表!K28</f>
        <v>0</v>
      </c>
      <c r="D28" s="48">
        <f>工业富联资产负债表!K28-工业富联资产负债表!L28</f>
        <v>0</v>
      </c>
      <c r="E28" s="48">
        <f>工业富联资产负债表!L28-工业富联资产负债表!M28</f>
        <v>0</v>
      </c>
      <c r="F28" s="48">
        <f>工业富联资产负债表!M28-工业富联资产负债表!N28</f>
        <v>0</v>
      </c>
      <c r="G28" s="48">
        <f>工业富联资产负债表!N28-工业富联资产负债表!O28</f>
        <v>0</v>
      </c>
      <c r="H28" s="48">
        <f>工业富联资产负债表!O28-工业富联资产负债表!P28</f>
        <v>0</v>
      </c>
      <c r="I28" s="48">
        <f t="shared" si="1"/>
        <v>62982000</v>
      </c>
      <c r="J28" s="48">
        <f t="shared" si="0"/>
        <v>62982000</v>
      </c>
    </row>
    <row r="29" spans="1:10" ht="16">
      <c r="A29" s="40" t="s">
        <v>255</v>
      </c>
      <c r="B29" s="48">
        <f>工业富联资产负债表!C29-工业富联资产负债表!G29</f>
        <v>-5035949000</v>
      </c>
      <c r="C29" s="48">
        <f>工业富联资产负债表!G29-工业富联资产负债表!K29</f>
        <v>9047774000</v>
      </c>
      <c r="D29" s="48">
        <f>工业富联资产负债表!K29-工业富联资产负债表!L29</f>
        <v>2000232000</v>
      </c>
      <c r="E29" s="48">
        <f>工业富联资产负债表!L29-工业富联资产负债表!M29</f>
        <v>634244000</v>
      </c>
      <c r="F29" s="48">
        <f>工业富联资产负债表!M29-工业富联资产负债表!N29</f>
        <v>139782000</v>
      </c>
      <c r="G29" s="48">
        <f>工业富联资产负债表!N29-工业富联资产负债表!O29</f>
        <v>393664000</v>
      </c>
      <c r="H29" s="48">
        <f>工业富联资产负债表!O29-工业富联资产负债表!P29</f>
        <v>-37500000</v>
      </c>
      <c r="I29" s="48">
        <f t="shared" si="1"/>
        <v>7142247000</v>
      </c>
      <c r="J29" s="48">
        <f t="shared" si="0"/>
        <v>6786083000</v>
      </c>
    </row>
    <row r="30" spans="1:10" ht="16">
      <c r="A30" s="40" t="s">
        <v>256</v>
      </c>
      <c r="B30" s="48">
        <f>工业富联资产负债表!C30-工业富联资产负债表!G30</f>
        <v>0</v>
      </c>
      <c r="C30" s="48">
        <f>工业富联资产负债表!G30-工业富联资产负债表!K30</f>
        <v>0</v>
      </c>
      <c r="D30" s="48">
        <f>工业富联资产负债表!K30-工业富联资产负债表!L30</f>
        <v>0</v>
      </c>
      <c r="E30" s="48">
        <f>工业富联资产负债表!L30-工业富联资产负债表!M30</f>
        <v>0</v>
      </c>
      <c r="F30" s="48">
        <f>工业富联资产负债表!M30-工业富联资产负债表!N30</f>
        <v>0</v>
      </c>
      <c r="G30" s="48">
        <f>工业富联资产负债表!N30-工业富联资产负债表!O30</f>
        <v>0</v>
      </c>
      <c r="H30" s="48">
        <f>工业富联资产负债表!O30-工业富联资产负债表!P30</f>
        <v>-19820000</v>
      </c>
      <c r="I30" s="48">
        <f t="shared" si="1"/>
        <v>-19820000</v>
      </c>
      <c r="J30" s="48">
        <f t="shared" si="0"/>
        <v>0</v>
      </c>
    </row>
    <row r="31" spans="1:10" ht="17">
      <c r="A31" s="52" t="s">
        <v>257</v>
      </c>
      <c r="B31" s="48">
        <f>工业富联资产负债表!C31-工业富联资产负债表!G31</f>
        <v>1806648000</v>
      </c>
      <c r="C31" s="48">
        <f>工业富联资产负债表!G31-工业富联资产负债表!K31</f>
        <v>-713284000</v>
      </c>
      <c r="D31" s="48">
        <f>工业富联资产负债表!K31-工业富联资产负债表!L31</f>
        <v>770871000</v>
      </c>
      <c r="E31" s="48">
        <f>工业富联资产负债表!L31-工业富联资产负债表!M31</f>
        <v>197919000</v>
      </c>
      <c r="F31" s="48">
        <f>工业富联资产负债表!M31-工业富联资产负债表!N31</f>
        <v>-55171000</v>
      </c>
      <c r="G31" s="48">
        <f>工业富联资产负债表!N31-工业富联资产负债表!O31</f>
        <v>-226456000</v>
      </c>
      <c r="H31" s="48">
        <f>工业富联资产负债表!O31-工业富联资产负债表!P31</f>
        <v>727529000</v>
      </c>
      <c r="I31" s="48">
        <f t="shared" si="1"/>
        <v>2508056000</v>
      </c>
      <c r="J31" s="48">
        <f t="shared" si="0"/>
        <v>2006983000</v>
      </c>
    </row>
    <row r="32" spans="1:10" ht="16">
      <c r="A32" s="40" t="s">
        <v>258</v>
      </c>
      <c r="B32" s="48">
        <f>工业富联资产负债表!C32-工业富联资产负债表!G32</f>
        <v>1806648000</v>
      </c>
      <c r="C32" s="48">
        <f>工业富联资产负债表!G32-工业富联资产负债表!K32</f>
        <v>-713284000</v>
      </c>
      <c r="D32" s="48">
        <f>工业富联资产负债表!K32-工业富联资产负债表!L32</f>
        <v>770871000</v>
      </c>
      <c r="E32" s="48">
        <f>工业富联资产负债表!L32-工业富联资产负债表!M32</f>
        <v>197919000</v>
      </c>
      <c r="F32" s="48">
        <f>工业富联资产负债表!M32-工业富联资产负债表!N32</f>
        <v>-55171000</v>
      </c>
      <c r="G32" s="48">
        <f>工业富联资产负债表!N32-工业富联资产负债表!O32</f>
        <v>-226456000</v>
      </c>
      <c r="H32" s="48">
        <f>工业富联资产负债表!O32-工业富联资产负债表!P32</f>
        <v>181921000</v>
      </c>
      <c r="I32" s="55">
        <f t="shared" si="1"/>
        <v>1962448000</v>
      </c>
      <c r="J32" s="48">
        <f t="shared" si="0"/>
        <v>2006983000</v>
      </c>
    </row>
    <row r="33" spans="1:10" ht="16">
      <c r="A33" s="40" t="s">
        <v>259</v>
      </c>
      <c r="B33" s="48">
        <f>工业富联资产负债表!C33-工业富联资产负债表!G33</f>
        <v>0</v>
      </c>
      <c r="C33" s="48">
        <f>工业富联资产负债表!G33-工业富联资产负债表!K33</f>
        <v>0</v>
      </c>
      <c r="D33" s="48">
        <f>工业富联资产负债表!K33-工业富联资产负债表!L33</f>
        <v>0</v>
      </c>
      <c r="E33" s="48">
        <f>工业富联资产负债表!L33-工业富联资产负债表!M33</f>
        <v>0</v>
      </c>
      <c r="F33" s="48">
        <f>工业富联资产负债表!M33-工业富联资产负债表!N33</f>
        <v>0</v>
      </c>
      <c r="G33" s="48">
        <f>工业富联资产负债表!N33-工业富联资产负债表!O33</f>
        <v>0</v>
      </c>
      <c r="H33" s="48">
        <f>工业富联资产负债表!O33-工业富联资产负债表!P33</f>
        <v>0</v>
      </c>
      <c r="I33" s="55">
        <f t="shared" si="1"/>
        <v>0</v>
      </c>
      <c r="J33" s="48">
        <f t="shared" si="0"/>
        <v>0</v>
      </c>
    </row>
    <row r="34" spans="1:10" ht="17">
      <c r="A34" s="52" t="s">
        <v>260</v>
      </c>
      <c r="B34" s="48">
        <f>工业富联资产负债表!C34-工业富联资产负债表!G34</f>
        <v>1774563000</v>
      </c>
      <c r="C34" s="48">
        <f>工业富联资产负债表!G34-工业富联资产负债表!K34</f>
        <v>6443466000</v>
      </c>
      <c r="D34" s="48">
        <f>工业富联资产负债表!K34-工业富联资产负债表!L34</f>
        <v>2370503000</v>
      </c>
      <c r="E34" s="48">
        <f>工业富联资产负债表!L34-工业富联资产负债表!M34</f>
        <v>478670000</v>
      </c>
      <c r="F34" s="48">
        <f>工业富联资产负债表!M34-工业富联资产负债表!N34</f>
        <v>-951708000</v>
      </c>
      <c r="G34" s="48">
        <f>工业富联资产负债表!N34-工业富联资产负债表!O34</f>
        <v>-1436447000</v>
      </c>
      <c r="H34" s="48">
        <f>工业富联资产负债表!O34-工业富联资产负债表!P34</f>
        <v>9032519000</v>
      </c>
      <c r="I34" s="48">
        <f t="shared" si="1"/>
        <v>17711566000</v>
      </c>
      <c r="J34" s="48">
        <f t="shared" si="0"/>
        <v>10115494000</v>
      </c>
    </row>
    <row r="35" spans="1:10" ht="16">
      <c r="A35" s="54" t="s">
        <v>261</v>
      </c>
      <c r="B35" s="48">
        <f>工业富联资产负债表!C35-工业富联资产负债表!G35</f>
        <v>1774563000</v>
      </c>
      <c r="C35" s="48">
        <f>工业富联资产负债表!G35-工业富联资产负债表!K35</f>
        <v>6443466000</v>
      </c>
      <c r="D35" s="48">
        <f>工业富联资产负债表!K35-工业富联资产负债表!L35</f>
        <v>2370503000</v>
      </c>
      <c r="E35" s="48">
        <f>工业富联资产负债表!L35-工业富联资产负债表!M35</f>
        <v>478670000</v>
      </c>
      <c r="F35" s="48">
        <f>工业富联资产负债表!M35-工业富联资产负债表!N35</f>
        <v>-951708000</v>
      </c>
      <c r="G35" s="48">
        <f>工业富联资产负债表!N35-工业富联资产负债表!O35</f>
        <v>-1436447000</v>
      </c>
      <c r="H35" s="48">
        <f>工业富联资产负债表!O35-工业富联资产负债表!P35</f>
        <v>-2326769000</v>
      </c>
      <c r="I35" s="55">
        <f t="shared" si="1"/>
        <v>6352278000</v>
      </c>
      <c r="J35" s="48">
        <f t="shared" si="0"/>
        <v>10115494000</v>
      </c>
    </row>
    <row r="36" spans="1:10" ht="16">
      <c r="A36" s="40" t="s">
        <v>262</v>
      </c>
      <c r="B36" s="48">
        <f>工业富联资产负债表!C36-工业富联资产负债表!G36</f>
        <v>0</v>
      </c>
      <c r="C36" s="48">
        <f>工业富联资产负债表!G36-工业富联资产负债表!K36</f>
        <v>0</v>
      </c>
      <c r="D36" s="48">
        <f>工业富联资产负债表!K36-工业富联资产负债表!L36</f>
        <v>0</v>
      </c>
      <c r="E36" s="48">
        <f>工业富联资产负债表!L36-工业富联资产负债表!M36</f>
        <v>0</v>
      </c>
      <c r="F36" s="48">
        <f>工业富联资产负债表!M36-工业富联资产负债表!N36</f>
        <v>0</v>
      </c>
      <c r="G36" s="48">
        <f>工业富联资产负债表!N36-工业富联资产负债表!O36</f>
        <v>0</v>
      </c>
      <c r="H36" s="48">
        <f>工业富联资产负债表!O36-工业富联资产负债表!P36</f>
        <v>0</v>
      </c>
      <c r="I36" s="48">
        <f t="shared" si="1"/>
        <v>0</v>
      </c>
      <c r="J36" s="48">
        <f t="shared" ref="J36:J99" si="2">SUM(B36:F36)</f>
        <v>0</v>
      </c>
    </row>
    <row r="37" spans="1:10" ht="16">
      <c r="A37" s="40" t="s">
        <v>263</v>
      </c>
      <c r="B37" s="48">
        <f>工业富联资产负债表!C37-工业富联资产负债表!G37</f>
        <v>0</v>
      </c>
      <c r="C37" s="48">
        <f>工业富联资产负债表!G37-工业富联资产负债表!K37</f>
        <v>0</v>
      </c>
      <c r="D37" s="48">
        <f>工业富联资产负债表!K37-工业富联资产负债表!L37</f>
        <v>0</v>
      </c>
      <c r="E37" s="48">
        <f>工业富联资产负债表!L37-工业富联资产负债表!M37</f>
        <v>0</v>
      </c>
      <c r="F37" s="48">
        <f>工业富联资产负债表!M37-工业富联资产负债表!N37</f>
        <v>0</v>
      </c>
      <c r="G37" s="48">
        <f>工业富联资产负债表!N37-工业富联资产负债表!O37</f>
        <v>0</v>
      </c>
      <c r="H37" s="48">
        <f>工业富联资产负债表!O37-工业富联资产负债表!P37</f>
        <v>0</v>
      </c>
      <c r="I37" s="48">
        <f t="shared" si="1"/>
        <v>0</v>
      </c>
      <c r="J37" s="48">
        <f t="shared" si="2"/>
        <v>0</v>
      </c>
    </row>
    <row r="38" spans="1:10" ht="16">
      <c r="A38" s="40" t="s">
        <v>264</v>
      </c>
      <c r="B38" s="48">
        <f>工业富联资产负债表!C38-工业富联资产负债表!G38</f>
        <v>0</v>
      </c>
      <c r="C38" s="48">
        <f>工业富联资产负债表!G38-工业富联资产负债表!K38</f>
        <v>0</v>
      </c>
      <c r="D38" s="48">
        <f>工业富联资产负债表!K38-工业富联资产负债表!L38</f>
        <v>0</v>
      </c>
      <c r="E38" s="48">
        <f>工业富联资产负债表!L38-工业富联资产负债表!M38</f>
        <v>0</v>
      </c>
      <c r="F38" s="48">
        <f>工业富联资产负债表!M38-工业富联资产负债表!N38</f>
        <v>0</v>
      </c>
      <c r="G38" s="48">
        <f>工业富联资产负债表!N38-工业富联资产负债表!O38</f>
        <v>0</v>
      </c>
      <c r="H38" s="48">
        <f>工业富联资产负债表!O38-工业富联资产负债表!P38</f>
        <v>0</v>
      </c>
      <c r="I38" s="48">
        <f t="shared" si="1"/>
        <v>0</v>
      </c>
      <c r="J38" s="48">
        <f t="shared" si="2"/>
        <v>0</v>
      </c>
    </row>
    <row r="39" spans="1:10" ht="16">
      <c r="A39" s="40" t="s">
        <v>265</v>
      </c>
      <c r="B39" s="48">
        <f>工业富联资产负债表!C39-工业富联资产负债表!G39</f>
        <v>0</v>
      </c>
      <c r="C39" s="48">
        <f>工业富联资产负债表!G39-工业富联资产负债表!K39</f>
        <v>0</v>
      </c>
      <c r="D39" s="48">
        <f>工业富联资产负债表!K39-工业富联资产负债表!L39</f>
        <v>0</v>
      </c>
      <c r="E39" s="48">
        <f>工业富联资产负债表!L39-工业富联资产负债表!M39</f>
        <v>0</v>
      </c>
      <c r="F39" s="48">
        <f>工业富联资产负债表!M39-工业富联资产负债表!N39</f>
        <v>0</v>
      </c>
      <c r="G39" s="48">
        <f>工业富联资产负债表!N39-工业富联资产负债表!O39</f>
        <v>0</v>
      </c>
      <c r="H39" s="48">
        <f>工业富联资产负债表!O39-工业富联资产负债表!P39</f>
        <v>0</v>
      </c>
      <c r="I39" s="48">
        <f t="shared" si="1"/>
        <v>0</v>
      </c>
      <c r="J39" s="48">
        <f t="shared" si="2"/>
        <v>0</v>
      </c>
    </row>
    <row r="40" spans="1:10" ht="17">
      <c r="A40" s="51" t="s">
        <v>266</v>
      </c>
      <c r="B40" s="48">
        <f>工业富联资产负债表!C40-工业富联资产负债表!G40</f>
        <v>-506714000</v>
      </c>
      <c r="C40" s="48">
        <f>工业富联资产负债表!G40-工业富联资产负债表!K40</f>
        <v>-41766000</v>
      </c>
      <c r="D40" s="48">
        <f>工业富联资产负债表!K40-工业富联资产负债表!L40</f>
        <v>2119621000</v>
      </c>
      <c r="E40" s="48">
        <f>工业富联资产负债表!L40-工业富联资产负债表!M40</f>
        <v>0</v>
      </c>
      <c r="F40" s="48">
        <f>工业富联资产负债表!M40-工业富联资产负债表!N40</f>
        <v>0</v>
      </c>
      <c r="G40" s="48">
        <f>工业富联资产负债表!N40-工业富联资产负债表!O40</f>
        <v>0</v>
      </c>
      <c r="H40" s="48">
        <f>工业富联资产负债表!O40-工业富联资产负债表!P40</f>
        <v>0</v>
      </c>
      <c r="I40" s="48">
        <f t="shared" si="1"/>
        <v>1571141000</v>
      </c>
      <c r="J40" s="48">
        <f t="shared" si="2"/>
        <v>1571141000</v>
      </c>
    </row>
    <row r="41" spans="1:10" ht="16">
      <c r="A41" s="40" t="s">
        <v>267</v>
      </c>
      <c r="B41" s="48">
        <f>工业富联资产负债表!C41-工业富联资产负债表!G41</f>
        <v>564107000</v>
      </c>
      <c r="C41" s="48">
        <f>工业富联资产负债表!G41-工业富联资产负债表!K41</f>
        <v>33292000</v>
      </c>
      <c r="D41" s="48">
        <f>工业富联资产负债表!K41-工业富联资产负债表!L41</f>
        <v>1696000</v>
      </c>
      <c r="E41" s="48">
        <f>工业富联资产负债表!L41-工业富联资产负债表!M41</f>
        <v>219590000</v>
      </c>
      <c r="F41" s="48">
        <f>工业富联资产负债表!M41-工业富联资产负债表!N41</f>
        <v>-11255000</v>
      </c>
      <c r="G41" s="48">
        <f>工业富联资产负债表!N41-工业富联资产负债表!O41</f>
        <v>-28303000</v>
      </c>
      <c r="H41" s="48">
        <f>工业富联资产负债表!O41-工业富联资产负债表!P41</f>
        <v>-19064000</v>
      </c>
      <c r="I41" s="48">
        <f t="shared" si="1"/>
        <v>760063000</v>
      </c>
      <c r="J41" s="48">
        <f t="shared" si="2"/>
        <v>807430000</v>
      </c>
    </row>
    <row r="42" spans="1:10" ht="16">
      <c r="A42" s="40" t="s">
        <v>268</v>
      </c>
      <c r="B42" s="48">
        <f>工业富联资产负债表!C42-工业富联资产负债表!G42</f>
        <v>0</v>
      </c>
      <c r="C42" s="48">
        <f>工业富联资产负债表!G42-工业富联资产负债表!K42</f>
        <v>0</v>
      </c>
      <c r="D42" s="48">
        <f>工业富联资产负债表!K42-工业富联资产负债表!L42</f>
        <v>0</v>
      </c>
      <c r="E42" s="48">
        <f>工业富联资产负债表!L42-工业富联资产负债表!M42</f>
        <v>0</v>
      </c>
      <c r="F42" s="48">
        <f>工业富联资产负债表!M42-工业富联资产负债表!N42</f>
        <v>0</v>
      </c>
      <c r="G42" s="48">
        <f>工业富联资产负债表!N42-工业富联资产负债表!O42</f>
        <v>0</v>
      </c>
      <c r="H42" s="48">
        <f>工业富联资产负债表!O42-工业富联资产负债表!P42</f>
        <v>0</v>
      </c>
      <c r="I42" s="48">
        <f t="shared" si="1"/>
        <v>0</v>
      </c>
      <c r="J42" s="48">
        <f t="shared" si="2"/>
        <v>0</v>
      </c>
    </row>
    <row r="43" spans="1:10" ht="16">
      <c r="A43" s="54" t="s">
        <v>269</v>
      </c>
      <c r="B43" s="48">
        <f>工业富联资产负债表!C43-工业富联资产负债表!G43</f>
        <v>0</v>
      </c>
      <c r="C43" s="48">
        <f>工业富联资产负债表!G43-工业富联资产负债表!K43</f>
        <v>310153000</v>
      </c>
      <c r="D43" s="48">
        <f>工业富联资产负债表!K43-工业富联资产负债表!L43</f>
        <v>0</v>
      </c>
      <c r="E43" s="48">
        <f>工业富联资产负债表!L43-工业富联资产负债表!M43</f>
        <v>0</v>
      </c>
      <c r="F43" s="48">
        <f>工业富联资产负债表!M43-工业富联资产负债表!N43</f>
        <v>0</v>
      </c>
      <c r="G43" s="48">
        <f>工业富联资产负债表!N43-工业富联资产负债表!O43</f>
        <v>0</v>
      </c>
      <c r="H43" s="48">
        <f>工业富联资产负债表!O43-工业富联资产负债表!P43</f>
        <v>0</v>
      </c>
      <c r="I43" s="48">
        <f t="shared" si="1"/>
        <v>310153000</v>
      </c>
      <c r="J43" s="48">
        <f t="shared" si="2"/>
        <v>310153000</v>
      </c>
    </row>
    <row r="44" spans="1:10" ht="16">
      <c r="A44" s="40" t="s">
        <v>270</v>
      </c>
      <c r="B44" s="48">
        <f>工业富联资产负债表!C44-工业富联资产负债表!G44</f>
        <v>922268000</v>
      </c>
      <c r="C44" s="48">
        <f>工业富联资产负债表!G44-工业富联资产负债表!K44</f>
        <v>488753000</v>
      </c>
      <c r="D44" s="48">
        <f>工业富联资产负债表!K44-工业富联资产负债表!L44</f>
        <v>320025000</v>
      </c>
      <c r="E44" s="48">
        <f>工业富联资产负债表!L44-工业富联资产负债表!M44</f>
        <v>271116000</v>
      </c>
      <c r="F44" s="48">
        <f>工业富联资产负债表!M44-工业富联资产负债表!N44</f>
        <v>115467000</v>
      </c>
      <c r="G44" s="48">
        <f>工业富联资产负债表!N44-工业富联资产负债表!O44</f>
        <v>208072000</v>
      </c>
      <c r="H44" s="48">
        <f>工业富联资产负债表!O44-工业富联资产负债表!P44</f>
        <v>109888000</v>
      </c>
      <c r="I44" s="48">
        <f t="shared" si="1"/>
        <v>2435589000</v>
      </c>
      <c r="J44" s="48">
        <f t="shared" si="2"/>
        <v>2117629000</v>
      </c>
    </row>
    <row r="45" spans="1:10" ht="16">
      <c r="A45" s="40" t="s">
        <v>271</v>
      </c>
      <c r="B45" s="48">
        <f>工业富联资产负债表!C45-工业富联资产负债表!G45</f>
        <v>-176697000</v>
      </c>
      <c r="C45" s="48">
        <f>工业富联资产负债表!G45-工业富联资产负债表!K45</f>
        <v>-75662000</v>
      </c>
      <c r="D45" s="48">
        <f>工业富联资产负债表!K45-工业富联资产负债表!L45</f>
        <v>-158756000</v>
      </c>
      <c r="E45" s="48">
        <f>工业富联资产负债表!L45-工业富联资产负债表!M45</f>
        <v>99137000</v>
      </c>
      <c r="F45" s="48">
        <f>工业富联资产负债表!M45-工业富联资产负债表!N45</f>
        <v>-193342000</v>
      </c>
      <c r="G45" s="48">
        <f>工业富联资产负债表!N45-工业富联资产负债表!O45</f>
        <v>-174120000</v>
      </c>
      <c r="H45" s="48">
        <f>工业富联资产负债表!O45-工业富联资产负债表!P45</f>
        <v>172716000</v>
      </c>
      <c r="I45" s="48">
        <f t="shared" si="1"/>
        <v>-506724000</v>
      </c>
      <c r="J45" s="48">
        <f t="shared" si="2"/>
        <v>-505320000</v>
      </c>
    </row>
    <row r="46" spans="1:10" ht="16">
      <c r="A46" s="40" t="s">
        <v>272</v>
      </c>
      <c r="B46" s="48">
        <f>工业富联资产负债表!C46-工业富联资产负债表!G46</f>
        <v>213226000</v>
      </c>
      <c r="C46" s="48">
        <f>工业富联资产负债表!G46-工业富联资产负债表!K46</f>
        <v>55168000</v>
      </c>
      <c r="D46" s="48">
        <f>工业富联资产负债表!K46-工业富联资产负债表!L46</f>
        <v>22596000</v>
      </c>
      <c r="E46" s="48">
        <f>工业富联资产负债表!L46-工业富联资产负债表!M46</f>
        <v>58295000</v>
      </c>
      <c r="F46" s="48">
        <f>工业富联资产负债表!M46-工业富联资产负债表!N46</f>
        <v>226872000</v>
      </c>
      <c r="G46" s="48">
        <f>工业富联资产负债表!N46-工业富联资产负债表!O46</f>
        <v>-23905000</v>
      </c>
      <c r="H46" s="48">
        <f>工业富联资产负债表!O46-工业富联资产负债表!P46</f>
        <v>81172000</v>
      </c>
      <c r="I46" s="48">
        <f t="shared" si="1"/>
        <v>633424000</v>
      </c>
      <c r="J46" s="48">
        <f t="shared" si="2"/>
        <v>576157000</v>
      </c>
    </row>
    <row r="47" spans="1:10" ht="16">
      <c r="A47" s="40" t="s">
        <v>273</v>
      </c>
      <c r="B47" s="48">
        <f>工业富联资产负债表!C47-工业富联资产负债表!G47</f>
        <v>-20960000</v>
      </c>
      <c r="C47" s="48">
        <f>工业富联资产负债表!G47-工业富联资产负债表!K47</f>
        <v>15797404000</v>
      </c>
      <c r="D47" s="48">
        <f>工业富联资产负债表!K47-工业富联资产负债表!L47</f>
        <v>7190396000</v>
      </c>
      <c r="E47" s="48">
        <f>工业富联资产负债表!L47-工业富联资产负债表!M47</f>
        <v>2337182000</v>
      </c>
      <c r="F47" s="48">
        <f>工业富联资产负债表!M47-工业富联资产负债表!N47</f>
        <v>-753187000</v>
      </c>
      <c r="G47" s="48">
        <f>工业富联资产负债表!N47-工业富联资产负债表!O47</f>
        <v>-1249735000</v>
      </c>
      <c r="H47" s="48">
        <f>工业富联资产负债表!O47-工业富联资产负债表!P47</f>
        <v>-1900848000</v>
      </c>
      <c r="I47" s="48">
        <f t="shared" si="1"/>
        <v>21400252000</v>
      </c>
      <c r="J47" s="48">
        <f t="shared" si="2"/>
        <v>24550835000</v>
      </c>
    </row>
    <row r="48" spans="1:10" ht="16">
      <c r="A48" s="40" t="s">
        <v>274</v>
      </c>
      <c r="B48" s="48">
        <f>工业富联资产负债表!C48-工业富联资产负债表!G48</f>
        <v>3517639000</v>
      </c>
      <c r="C48" s="48">
        <f>工业富联资产负债表!G48-工业富联资产负债表!K48</f>
        <v>17578887000</v>
      </c>
      <c r="D48" s="48">
        <f>工业富联资产负债表!K48-工业富联资产负债表!L48</f>
        <v>41094831000</v>
      </c>
      <c r="E48" s="48">
        <f>工业富联资产负债表!L48-工业富联资产负债表!M48</f>
        <v>19900999000</v>
      </c>
      <c r="F48" s="48">
        <f>工业富联资产负债表!M48-工业富联资产负债表!N48</f>
        <v>5009621000</v>
      </c>
      <c r="G48" s="48">
        <f>工业富联资产负债表!N48-工业富联资产负债表!O48</f>
        <v>52007083000</v>
      </c>
      <c r="H48" s="48">
        <f>工业富联资产负债表!O48-工业富联资产负债表!P48</f>
        <v>12852582000</v>
      </c>
      <c r="I48" s="48">
        <f t="shared" si="1"/>
        <v>151961642000</v>
      </c>
      <c r="J48" s="48">
        <f t="shared" si="2"/>
        <v>87101977000</v>
      </c>
    </row>
    <row r="49" spans="1:10" ht="16">
      <c r="A49" s="40" t="s">
        <v>275</v>
      </c>
      <c r="B49" s="48">
        <f>工业富联资产负债表!C49-工业富联资产负债表!G49</f>
        <v>0</v>
      </c>
      <c r="C49" s="48">
        <f>工业富联资产负债表!G49-工业富联资产负债表!K49</f>
        <v>0</v>
      </c>
      <c r="D49" s="48">
        <f>工业富联资产负债表!K49-工业富联资产负债表!L49</f>
        <v>0</v>
      </c>
      <c r="E49" s="48">
        <f>工业富联资产负债表!L49-工业富联资产负债表!M49</f>
        <v>0</v>
      </c>
      <c r="F49" s="48">
        <f>工业富联资产负债表!M49-工业富联资产负债表!N49</f>
        <v>0</v>
      </c>
      <c r="G49" s="48">
        <f>工业富联资产负债表!N49-工业富联资产负债表!O49</f>
        <v>0</v>
      </c>
      <c r="H49" s="48">
        <f>工业富联资产负债表!O49-工业富联资产负债表!P49</f>
        <v>0</v>
      </c>
      <c r="I49" s="48">
        <f t="shared" si="1"/>
        <v>0</v>
      </c>
      <c r="J49" s="48">
        <f t="shared" si="2"/>
        <v>0</v>
      </c>
    </row>
    <row r="50" spans="1:10" ht="16">
      <c r="A50" s="40" t="s">
        <v>276</v>
      </c>
      <c r="B50" s="48">
        <f>工业富联资产负债表!C50-工业富联资产负债表!G50</f>
        <v>-9406793000</v>
      </c>
      <c r="C50" s="48">
        <f>工业富联资产负债表!G50-工业富联资产负债表!K50</f>
        <v>-1638962000</v>
      </c>
      <c r="D50" s="48">
        <f>工业富联资产负债表!K50-工业富联资产负债表!L50</f>
        <v>7913720000</v>
      </c>
      <c r="E50" s="48">
        <f>工业富联资产负债表!L50-工业富联资产负债表!M50</f>
        <v>15951649000</v>
      </c>
      <c r="F50" s="48">
        <f>工业富联资产负债表!M50-工业富联资产负债表!N50</f>
        <v>5781069000</v>
      </c>
      <c r="G50" s="48">
        <f>工业富联资产负债表!N50-工业富联资产负债表!O50</f>
        <v>15533417000</v>
      </c>
      <c r="H50" s="48">
        <f>工业富联资产负债表!O50-工业富联资产负债表!P50</f>
        <v>5313881000</v>
      </c>
      <c r="I50" s="48">
        <f t="shared" si="1"/>
        <v>39447981000</v>
      </c>
      <c r="J50" s="48">
        <f t="shared" si="2"/>
        <v>18600683000</v>
      </c>
    </row>
    <row r="51" spans="1:10" ht="16">
      <c r="A51" s="47" t="s">
        <v>277</v>
      </c>
      <c r="B51" s="48">
        <f>工业富联资产负债表!C51-工业富联资产负债表!G51</f>
        <v>-88939000</v>
      </c>
      <c r="C51" s="48">
        <f>工业富联资产负债表!G51-工业富联资产负债表!K51</f>
        <v>88183000</v>
      </c>
      <c r="D51" s="48">
        <f>工业富联资产负债表!K51-工业富联资产负债表!L51</f>
        <v>13889000</v>
      </c>
      <c r="E51" s="48">
        <f>工业富联资产负债表!L51-工业富联资产负债表!M51</f>
        <v>0</v>
      </c>
      <c r="F51" s="48">
        <f>工业富联资产负债表!M51-工业富联资产负债表!N51</f>
        <v>-117000</v>
      </c>
      <c r="G51" s="48">
        <f>工业富联资产负债表!N51-工业富联资产负债表!O51</f>
        <v>117000</v>
      </c>
      <c r="H51" s="48">
        <f>工业富联资产负债表!O51-工业富联资产负债表!P51</f>
        <v>0</v>
      </c>
      <c r="I51" s="48">
        <f t="shared" si="1"/>
        <v>13133000</v>
      </c>
      <c r="J51" s="48">
        <f t="shared" si="2"/>
        <v>13016000</v>
      </c>
    </row>
    <row r="52" spans="1:10" ht="17">
      <c r="A52" s="52" t="s">
        <v>278</v>
      </c>
      <c r="B52" s="48">
        <f>工业富联资产负债表!C52-工业富联资产负债表!G52</f>
        <v>5749396000</v>
      </c>
      <c r="C52" s="48">
        <f>工业富联资产负债表!G52-工业富联资产负债表!K52</f>
        <v>-2707791000</v>
      </c>
      <c r="D52" s="48">
        <f>工业富联资产负债表!K52-工业富联资产负债表!L52</f>
        <v>9741937000</v>
      </c>
      <c r="E52" s="48">
        <f>工业富联资产负债表!L52-工业富联资产负债表!M52</f>
        <v>-5076552000</v>
      </c>
      <c r="F52" s="48">
        <f>工业富联资产负债表!M52-工业富联资产负债表!N52</f>
        <v>-2409451000</v>
      </c>
      <c r="G52" s="48">
        <f>工业富联资产负债表!N52-工业富联资产负债表!O52</f>
        <v>-7078511000</v>
      </c>
      <c r="H52" s="48">
        <f>工业富联资产负债表!O52-工业富联资产负债表!P52</f>
        <v>33796407000</v>
      </c>
      <c r="I52" s="48">
        <f t="shared" si="1"/>
        <v>32015435000</v>
      </c>
      <c r="J52" s="48">
        <f t="shared" si="2"/>
        <v>5297539000</v>
      </c>
    </row>
    <row r="53" spans="1:10" ht="16">
      <c r="A53" s="47" t="s">
        <v>279</v>
      </c>
      <c r="B53" s="48">
        <f>工业富联资产负债表!C53-工业富联资产负债表!G53</f>
        <v>0</v>
      </c>
      <c r="C53" s="48">
        <f>工业富联资产负债表!G53-工业富联资产负债表!K53</f>
        <v>-250000000</v>
      </c>
      <c r="D53" s="48">
        <f>工业富联资产负债表!K53-工业富联资产负债表!L53</f>
        <v>150000000</v>
      </c>
      <c r="E53" s="48">
        <f>工业富联资产负债表!L53-工业富联资产负债表!M53</f>
        <v>100000000</v>
      </c>
      <c r="F53" s="48">
        <f>工业富联资产负债表!M53-工业富联资产负债表!N53</f>
        <v>0</v>
      </c>
      <c r="G53" s="48">
        <f>工业富联资产负债表!N53-工业富联资产负债表!O53</f>
        <v>0</v>
      </c>
      <c r="H53" s="48">
        <f>工业富联资产负债表!O53-工业富联资产负债表!P53</f>
        <v>0</v>
      </c>
      <c r="I53" s="48">
        <f t="shared" si="1"/>
        <v>0</v>
      </c>
      <c r="J53" s="48">
        <f t="shared" si="2"/>
        <v>0</v>
      </c>
    </row>
    <row r="54" spans="1:10" ht="16">
      <c r="A54" s="50" t="s">
        <v>280</v>
      </c>
      <c r="B54" s="48">
        <f>工业富联资产负债表!C54-工业富联资产负债表!G54</f>
        <v>5749396000</v>
      </c>
      <c r="C54" s="48">
        <f>工业富联资产负债表!G54-工业富联资产负债表!K54</f>
        <v>-2457791000</v>
      </c>
      <c r="D54" s="48">
        <f>工业富联资产负债表!K54-工业富联资产负债表!L54</f>
        <v>9591937000</v>
      </c>
      <c r="E54" s="48">
        <f>工业富联资产负债表!L54-工业富联资产负债表!M54</f>
        <v>-5176552000</v>
      </c>
      <c r="F54" s="48">
        <f>工业富联资产负债表!M54-工业富联资产负债表!N54</f>
        <v>-2409451000</v>
      </c>
      <c r="G54" s="48">
        <f>工业富联资产负债表!N54-工业富联资产负债表!O54</f>
        <v>-7078511000</v>
      </c>
      <c r="H54" s="48">
        <f>工业富联资产负债表!O54-工业富联资产负债表!P54</f>
        <v>33796407000</v>
      </c>
      <c r="I54" s="48">
        <f t="shared" si="1"/>
        <v>32015435000</v>
      </c>
      <c r="J54" s="48">
        <f t="shared" si="2"/>
        <v>5297539000</v>
      </c>
    </row>
    <row r="55" spans="1:10" ht="16">
      <c r="A55" s="40" t="s">
        <v>281</v>
      </c>
      <c r="B55" s="48">
        <f>工业富联资产负债表!C55-工业富联资产负债表!G55</f>
        <v>0</v>
      </c>
      <c r="C55" s="48">
        <f>工业富联资产负债表!G55-工业富联资产负债表!K55</f>
        <v>0</v>
      </c>
      <c r="D55" s="48">
        <f>工业富联资产负债表!K55-工业富联资产负债表!L55</f>
        <v>0</v>
      </c>
      <c r="E55" s="48">
        <f>工业富联资产负债表!L55-工业富联资产负债表!M55</f>
        <v>-103398000</v>
      </c>
      <c r="F55" s="48">
        <f>工业富联资产负债表!M55-工业富联资产负债表!N55</f>
        <v>45427000</v>
      </c>
      <c r="G55" s="48">
        <f>工业富联资产负债表!N55-工业富联资产负债表!O55</f>
        <v>-48301000</v>
      </c>
      <c r="H55" s="48">
        <f>工业富联资产负债表!O55-工业富联资产负债表!P55</f>
        <v>-77811000</v>
      </c>
      <c r="I55" s="48">
        <f t="shared" si="1"/>
        <v>-184083000</v>
      </c>
      <c r="J55" s="48">
        <f t="shared" si="2"/>
        <v>-57971000</v>
      </c>
    </row>
    <row r="56" spans="1:10" ht="16">
      <c r="A56" s="40" t="s">
        <v>282</v>
      </c>
      <c r="B56" s="48">
        <f>工业富联资产负债表!C56-工业富联资产负债表!G56</f>
        <v>13636000</v>
      </c>
      <c r="C56" s="48">
        <f>工业富联资产负债表!G56-工业富联资产负债表!K56</f>
        <v>64244000</v>
      </c>
      <c r="D56" s="48">
        <f>工业富联资产负债表!K56-工业富联资产负债表!L56</f>
        <v>112436000</v>
      </c>
      <c r="E56" s="48">
        <f>工业富联资产负债表!L56-工业富联资产负债表!M56</f>
        <v>0</v>
      </c>
      <c r="F56" s="48">
        <f>工业富联资产负债表!M56-工业富联资产负债表!N56</f>
        <v>0</v>
      </c>
      <c r="G56" s="48">
        <f>工业富联资产负债表!N56-工业富联资产负债表!O56</f>
        <v>0</v>
      </c>
      <c r="H56" s="48">
        <f>工业富联资产负债表!O56-工业富联资产负债表!P56</f>
        <v>0</v>
      </c>
      <c r="I56" s="48">
        <f t="shared" si="1"/>
        <v>190316000</v>
      </c>
      <c r="J56" s="48">
        <f t="shared" si="2"/>
        <v>190316000</v>
      </c>
    </row>
    <row r="57" spans="1:10" ht="16">
      <c r="A57" s="40" t="s">
        <v>283</v>
      </c>
      <c r="B57" s="48">
        <f>工业富联资产负债表!C57-工业富联资产负债表!G57</f>
        <v>-630379000</v>
      </c>
      <c r="C57" s="48">
        <f>工业富联资产负债表!G57-工业富联资产负债表!K57</f>
        <v>64482000</v>
      </c>
      <c r="D57" s="48">
        <f>工业富联资产负债表!K57-工业富联资产负债表!L57</f>
        <v>-216605000</v>
      </c>
      <c r="E57" s="48">
        <f>工业富联资产负债表!L57-工业富联资产负债表!M57</f>
        <v>133400000</v>
      </c>
      <c r="F57" s="48">
        <f>工业富联资产负债表!M57-工业富联资产负债表!N57</f>
        <v>591000000</v>
      </c>
      <c r="G57" s="48">
        <f>工业富联资产负债表!N57-工业富联资产负债表!O57</f>
        <v>1370569000</v>
      </c>
      <c r="H57" s="48">
        <f>工业富联资产负债表!O57-工业富联资产负债表!P57</f>
        <v>-504282000</v>
      </c>
      <c r="I57" s="48">
        <f t="shared" si="1"/>
        <v>808185000</v>
      </c>
      <c r="J57" s="48">
        <f t="shared" si="2"/>
        <v>-58102000</v>
      </c>
    </row>
    <row r="58" spans="1:10" ht="16">
      <c r="A58" s="40" t="s">
        <v>284</v>
      </c>
      <c r="B58" s="48">
        <f>工业富联资产负债表!C58-工业富联资产负债表!G58</f>
        <v>425662000</v>
      </c>
      <c r="C58" s="48">
        <f>工业富联资产负债表!G58-工业富联资产负债表!K58</f>
        <v>-628019000</v>
      </c>
      <c r="D58" s="48">
        <f>工业富联资产负债表!K58-工业富联资产负债表!L58</f>
        <v>-102537000</v>
      </c>
      <c r="E58" s="48">
        <f>工业富联资产负债表!L58-工业富联资产负债表!M58</f>
        <v>-354689000</v>
      </c>
      <c r="F58" s="48">
        <f>工业富联资产负债表!M58-工业富联资产负债表!N58</f>
        <v>-757653000</v>
      </c>
      <c r="G58" s="48">
        <f>工业富联资产负债表!N58-工业富联资产负债表!O58</f>
        <v>1780999000</v>
      </c>
      <c r="H58" s="48">
        <f>工业富联资产负债表!O58-工业富联资产负债表!P58</f>
        <v>531288000</v>
      </c>
      <c r="I58" s="48">
        <f t="shared" si="1"/>
        <v>895051000</v>
      </c>
      <c r="J58" s="48">
        <f t="shared" si="2"/>
        <v>-1417236000</v>
      </c>
    </row>
    <row r="59" spans="1:10" ht="17">
      <c r="A59" s="52" t="s">
        <v>285</v>
      </c>
      <c r="B59" s="48">
        <f>工业富联资产负债表!C59-工业富联资产负债表!G59</f>
        <v>-2716055000</v>
      </c>
      <c r="C59" s="48">
        <f>工业富联资产负债表!G59-工业富联资产负债表!K59</f>
        <v>8092487000</v>
      </c>
      <c r="D59" s="48">
        <f>工业富联资产负债表!K59-工业富联资产负债表!L59</f>
        <v>2435628000</v>
      </c>
      <c r="E59" s="48">
        <f>工业富联资产负债表!L59-工业富联资产负债表!M59</f>
        <v>-6222910000</v>
      </c>
      <c r="F59" s="48">
        <f>工业富联资产负债表!M59-工业富联资产负债表!N59</f>
        <v>-15301635000</v>
      </c>
      <c r="G59" s="48">
        <f>工业富联资产负债表!N59-工业富联资产负债表!O59</f>
        <v>-4206259000</v>
      </c>
      <c r="H59" s="48">
        <f>工业富联资产负债表!O59-工业富联资产负债表!P59</f>
        <v>23439169000</v>
      </c>
      <c r="I59" s="48">
        <f t="shared" si="1"/>
        <v>5520425000</v>
      </c>
      <c r="J59" s="48">
        <f t="shared" si="2"/>
        <v>-13712485000</v>
      </c>
    </row>
    <row r="60" spans="1:10" ht="16">
      <c r="A60" s="40" t="s">
        <v>286</v>
      </c>
      <c r="B60" s="48">
        <f>工业富联资产负债表!C60-工业富联资产负债表!G60</f>
        <v>0</v>
      </c>
      <c r="C60" s="48">
        <f>工业富联资产负债表!G60-工业富联资产负债表!K60</f>
        <v>0</v>
      </c>
      <c r="D60" s="48">
        <f>工业富联资产负债表!K60-工业富联资产负债表!L60</f>
        <v>0</v>
      </c>
      <c r="E60" s="48">
        <f>工业富联资产负债表!L60-工业富联资产负债表!M60</f>
        <v>-16755000</v>
      </c>
      <c r="F60" s="48">
        <f>工业富联资产负债表!M60-工业富联资产负债表!N60</f>
        <v>-160656000</v>
      </c>
      <c r="G60" s="48">
        <f>工业富联资产负债表!N60-工业富联资产负债表!O60</f>
        <v>177411000</v>
      </c>
      <c r="H60" s="48">
        <f>工业富联资产负债表!O60-工业富联资产负债表!P60</f>
        <v>0</v>
      </c>
      <c r="I60" s="48">
        <f t="shared" si="1"/>
        <v>0</v>
      </c>
      <c r="J60" s="48">
        <f t="shared" si="2"/>
        <v>-177411000</v>
      </c>
    </row>
    <row r="61" spans="1:10" ht="16">
      <c r="A61" s="40" t="s">
        <v>287</v>
      </c>
      <c r="B61" s="48">
        <f>工业富联资产负债表!C61-工业富联资产负债表!G61</f>
        <v>131036000</v>
      </c>
      <c r="C61" s="48">
        <f>工业富联资产负债表!G61-工业富联资产负债表!K61</f>
        <v>0</v>
      </c>
      <c r="D61" s="48">
        <f>工业富联资产负债表!K61-工业富联资产负债表!L61</f>
        <v>0</v>
      </c>
      <c r="E61" s="48">
        <f>工业富联资产负债表!L61-工业富联资产负债表!M61</f>
        <v>0</v>
      </c>
      <c r="F61" s="48">
        <f>工业富联资产负债表!M61-工业富联资产负债表!N61</f>
        <v>0</v>
      </c>
      <c r="G61" s="48">
        <f>工业富联资产负债表!N61-工业富联资产负债表!O61</f>
        <v>0</v>
      </c>
      <c r="H61" s="48">
        <f>工业富联资产负债表!O61-工业富联资产负债表!P61</f>
        <v>0</v>
      </c>
      <c r="I61" s="48">
        <f t="shared" si="1"/>
        <v>131036000</v>
      </c>
      <c r="J61" s="48">
        <f t="shared" si="2"/>
        <v>131036000</v>
      </c>
    </row>
    <row r="62" spans="1:10" ht="16">
      <c r="A62" s="53" t="s">
        <v>288</v>
      </c>
      <c r="B62" s="48">
        <f>工业富联资产负债表!C62-工业富联资产负债表!G62</f>
        <v>-2847091000</v>
      </c>
      <c r="C62" s="48">
        <f>工业富联资产负债表!G62-工业富联资产负债表!K62</f>
        <v>8092487000</v>
      </c>
      <c r="D62" s="48">
        <f>工业富联资产负债表!K62-工业富联资产负债表!L62</f>
        <v>2435628000</v>
      </c>
      <c r="E62" s="48">
        <f>工业富联资产负债表!L62-工业富联资产负债表!M62</f>
        <v>-6206155000</v>
      </c>
      <c r="F62" s="48">
        <f>工业富联资产负债表!M62-工业富联资产负债表!N62</f>
        <v>-15140979000</v>
      </c>
      <c r="G62" s="48">
        <f>工业富联资产负债表!N62-工业富联资产负债表!O62</f>
        <v>-4383670000</v>
      </c>
      <c r="H62" s="48">
        <f>工业富联资产负债表!O62-工业富联资产负债表!P62</f>
        <v>23439169000</v>
      </c>
      <c r="I62" s="48">
        <f t="shared" si="1"/>
        <v>5389389000</v>
      </c>
      <c r="J62" s="48">
        <f t="shared" si="2"/>
        <v>-13666110000</v>
      </c>
    </row>
    <row r="63" spans="1:10" ht="16">
      <c r="A63" s="40" t="s">
        <v>289</v>
      </c>
      <c r="B63" s="48">
        <f>工业富联资产负债表!C63-工业富联资产负债表!G63</f>
        <v>0</v>
      </c>
      <c r="C63" s="48">
        <f>工业富联资产负债表!G63-工业富联资产负债表!K63</f>
        <v>0</v>
      </c>
      <c r="D63" s="48">
        <f>工业富联资产负债表!K63-工业富联资产负债表!L63</f>
        <v>0</v>
      </c>
      <c r="E63" s="48">
        <f>工业富联资产负债表!L63-工业富联资产负债表!M63</f>
        <v>0</v>
      </c>
      <c r="F63" s="48">
        <f>工业富联资产负债表!M63-工业富联资产负债表!N63</f>
        <v>0</v>
      </c>
      <c r="G63" s="48">
        <f>工业富联资产负债表!N63-工业富联资产负债表!O63</f>
        <v>0</v>
      </c>
      <c r="H63" s="48">
        <f>工业富联资产负债表!O63-工业富联资产负债表!P63</f>
        <v>0</v>
      </c>
      <c r="I63" s="48">
        <f t="shared" si="1"/>
        <v>0</v>
      </c>
      <c r="J63" s="48">
        <f t="shared" si="2"/>
        <v>0</v>
      </c>
    </row>
    <row r="64" spans="1:10" ht="16">
      <c r="A64" s="40" t="s">
        <v>290</v>
      </c>
      <c r="B64" s="48">
        <f>工业富联资产负债表!C64-工业富联资产负债表!G64</f>
        <v>0</v>
      </c>
      <c r="C64" s="48">
        <f>工业富联资产负债表!G64-工业富联资产负债表!K64</f>
        <v>0</v>
      </c>
      <c r="D64" s="48">
        <f>工业富联资产负债表!K64-工业富联资产负债表!L64</f>
        <v>0</v>
      </c>
      <c r="E64" s="48">
        <f>工业富联资产负债表!L64-工业富联资产负债表!M64</f>
        <v>0</v>
      </c>
      <c r="F64" s="48">
        <f>工业富联资产负债表!M64-工业富联资产负债表!N64</f>
        <v>0</v>
      </c>
      <c r="G64" s="48">
        <f>工业富联资产负债表!N64-工业富联资产负债表!O64</f>
        <v>0</v>
      </c>
      <c r="H64" s="48">
        <f>工业富联资产负债表!O64-工业富联资产负债表!P64</f>
        <v>0</v>
      </c>
      <c r="I64" s="48">
        <f t="shared" si="1"/>
        <v>0</v>
      </c>
      <c r="J64" s="48">
        <f t="shared" si="2"/>
        <v>0</v>
      </c>
    </row>
    <row r="65" spans="1:10" ht="16">
      <c r="A65" s="40" t="s">
        <v>291</v>
      </c>
      <c r="B65" s="48">
        <f>工业富联资产负债表!C65-工业富联资产负债表!G65</f>
        <v>0</v>
      </c>
      <c r="C65" s="48">
        <f>工业富联资产负债表!G65-工业富联资产负债表!K65</f>
        <v>0</v>
      </c>
      <c r="D65" s="48">
        <f>工业富联资产负债表!K65-工业富联资产负债表!L65</f>
        <v>0</v>
      </c>
      <c r="E65" s="48">
        <f>工业富联资产负债表!L65-工业富联资产负债表!M65</f>
        <v>0</v>
      </c>
      <c r="F65" s="48">
        <f>工业富联资产负债表!M65-工业富联资产负债表!N65</f>
        <v>0</v>
      </c>
      <c r="G65" s="48">
        <f>工业富联资产负债表!N65-工业富联资产负债表!O65</f>
        <v>0</v>
      </c>
      <c r="H65" s="48">
        <f>工业富联资产负债表!O65-工业富联资产负债表!P65</f>
        <v>0</v>
      </c>
      <c r="I65" s="48">
        <f t="shared" si="1"/>
        <v>0</v>
      </c>
      <c r="J65" s="48">
        <f t="shared" si="2"/>
        <v>0</v>
      </c>
    </row>
    <row r="66" spans="1:10" ht="16">
      <c r="A66" s="40" t="s">
        <v>292</v>
      </c>
      <c r="B66" s="48">
        <f>工业富联资产负债表!C66-工业富联资产负债表!G66</f>
        <v>-4598207000</v>
      </c>
      <c r="C66" s="48">
        <f>工业富联资产负债表!G66-工业富联资产负债表!K66</f>
        <v>4214873000</v>
      </c>
      <c r="D66" s="48">
        <f>工业富联资产负债表!K66-工业富联资产负债表!L66</f>
        <v>1051745000</v>
      </c>
      <c r="E66" s="48">
        <f>工业富联资产负债表!L66-工业富联资产负债表!M66</f>
        <v>327000</v>
      </c>
      <c r="F66" s="48">
        <f>工业富联资产负债表!M66-工业富联资产负债表!N66</f>
        <v>0</v>
      </c>
      <c r="G66" s="48">
        <f>工业富联资产负债表!N66-工业富联资产负债表!O66</f>
        <v>0</v>
      </c>
      <c r="H66" s="48">
        <f>工业富联资产负债表!O66-工业富联资产负债表!P66</f>
        <v>0</v>
      </c>
      <c r="I66" s="48">
        <f t="shared" si="1"/>
        <v>668738000</v>
      </c>
      <c r="J66" s="48">
        <f t="shared" si="2"/>
        <v>668738000</v>
      </c>
    </row>
    <row r="67" spans="1:10" ht="16">
      <c r="A67" s="40" t="s">
        <v>293</v>
      </c>
      <c r="B67" s="48">
        <f>工业富联资产负债表!C67-工业富联资产负债表!G67</f>
        <v>120622000</v>
      </c>
      <c r="C67" s="48">
        <f>工业富联资产负债表!G67-工业富联资产负债表!K67</f>
        <v>297553000</v>
      </c>
      <c r="D67" s="48">
        <f>工业富联资产负债表!K67-工业富联资产负债表!L67</f>
        <v>-49299000</v>
      </c>
      <c r="E67" s="48">
        <f>工业富联资产负债表!L67-工业富联资产负债表!M67</f>
        <v>127182000</v>
      </c>
      <c r="F67" s="48">
        <f>工业富联资产负债表!M67-工业富联资产负债表!N67</f>
        <v>38121000</v>
      </c>
      <c r="G67" s="48">
        <f>工业富联资产负债表!N67-工业富联资产负债表!O67</f>
        <v>252107000</v>
      </c>
      <c r="H67" s="48">
        <f>工业富联资产负债表!O67-工业富联资产负债表!P67</f>
        <v>-113119000</v>
      </c>
      <c r="I67" s="48">
        <f t="shared" si="1"/>
        <v>673167000</v>
      </c>
      <c r="J67" s="48">
        <f t="shared" si="2"/>
        <v>534179000</v>
      </c>
    </row>
    <row r="68" spans="1:10" ht="16">
      <c r="A68" s="54" t="s">
        <v>294</v>
      </c>
      <c r="B68" s="48">
        <f>工业富联资产负债表!C68-工业富联资产负债表!G68</f>
        <v>-11131057000</v>
      </c>
      <c r="C68" s="48">
        <f>工业富联资产负债表!G68-工业富联资产负债表!K68</f>
        <v>7847050000</v>
      </c>
      <c r="D68" s="48">
        <f>工业富联资产负债表!K68-工业富联资产负债表!L68</f>
        <v>20803319000</v>
      </c>
      <c r="E68" s="48">
        <f>工业富联资产负债表!L68-工业富联资产负债表!M68</f>
        <v>4552604000</v>
      </c>
      <c r="F68" s="48">
        <f>工业富联资产负债表!M68-工业富联资产负债表!N68</f>
        <v>-12013239000</v>
      </c>
      <c r="G68" s="48">
        <f>工业富联资产负债表!N68-工业富联资产负债表!O68</f>
        <v>7604138000</v>
      </c>
      <c r="H68" s="48">
        <f>工业富联资产负债表!O68-工业富联资产负债表!P68</f>
        <v>62385533000</v>
      </c>
      <c r="I68" s="48">
        <f t="shared" si="1"/>
        <v>80048348000</v>
      </c>
      <c r="J68" s="48">
        <f t="shared" si="2"/>
        <v>10058677000</v>
      </c>
    </row>
    <row r="69" spans="1:10" ht="16">
      <c r="A69" s="40" t="s">
        <v>295</v>
      </c>
      <c r="B69" s="48">
        <f>工业富联资产负债表!C69-工业富联资产负债表!G69</f>
        <v>0</v>
      </c>
      <c r="C69" s="48">
        <f>工业富联资产负债表!G69-工业富联资产负债表!K69</f>
        <v>0</v>
      </c>
      <c r="D69" s="48">
        <f>工业富联资产负债表!K69-工业富联资产负债表!L69</f>
        <v>0</v>
      </c>
      <c r="E69" s="48">
        <f>工业富联资产负债表!L69-工业富联资产负债表!M69</f>
        <v>0</v>
      </c>
      <c r="F69" s="48">
        <f>工业富联资产负债表!M69-工业富联资产负债表!N69</f>
        <v>0</v>
      </c>
      <c r="G69" s="48">
        <f>工业富联资产负债表!N69-工业富联资产负债表!O69</f>
        <v>0</v>
      </c>
      <c r="H69" s="48">
        <f>工业富联资产负债表!O69-工业富联资产负债表!P69</f>
        <v>0</v>
      </c>
      <c r="I69" s="48">
        <f t="shared" ref="I69:I116" si="3">SUM(B69:H69)</f>
        <v>0</v>
      </c>
      <c r="J69" s="48">
        <f t="shared" si="2"/>
        <v>0</v>
      </c>
    </row>
    <row r="70" spans="1:10" ht="16">
      <c r="A70" s="40" t="s">
        <v>296</v>
      </c>
      <c r="B70" s="48">
        <f>工业富联资产负债表!C70-工业富联资产负债表!G70</f>
        <v>3612436000</v>
      </c>
      <c r="C70" s="48">
        <f>工业富联资产负债表!G70-工业富联资产负债表!K70</f>
        <v>-329840000</v>
      </c>
      <c r="D70" s="48">
        <f>工业富联资产负债表!K70-工业富联资产负债表!L70</f>
        <v>3814122000</v>
      </c>
      <c r="E70" s="48">
        <f>工业富联资产负债表!L70-工业富联资产负债表!M70</f>
        <v>225000</v>
      </c>
      <c r="F70" s="48">
        <f>工业富联资产负债表!M70-工业富联资产负债表!N70</f>
        <v>0</v>
      </c>
      <c r="G70" s="48">
        <f>工业富联资产负债表!N70-工业富联资产负债表!O70</f>
        <v>0</v>
      </c>
      <c r="H70" s="48">
        <f>工业富联资产负债表!O70-工业富联资产负债表!P70</f>
        <v>0</v>
      </c>
      <c r="I70" s="48">
        <f t="shared" si="3"/>
        <v>7096943000</v>
      </c>
      <c r="J70" s="48">
        <f t="shared" si="2"/>
        <v>7096943000</v>
      </c>
    </row>
    <row r="71" spans="1:10" ht="16">
      <c r="A71" s="40" t="s">
        <v>297</v>
      </c>
      <c r="B71" s="48">
        <f>工业富联资产负债表!C71-工业富联资产负债表!G71</f>
        <v>0</v>
      </c>
      <c r="C71" s="48">
        <f>工业富联资产负债表!G71-工业富联资产负债表!K71</f>
        <v>0</v>
      </c>
      <c r="D71" s="48">
        <f>工业富联资产负债表!K71-工业富联资产负债表!L71</f>
        <v>0</v>
      </c>
      <c r="E71" s="48">
        <f>工业富联资产负债表!L71-工业富联资产负债表!M71</f>
        <v>0</v>
      </c>
      <c r="F71" s="48">
        <f>工业富联资产负债表!M71-工业富联资产负债表!N71</f>
        <v>0</v>
      </c>
      <c r="G71" s="48">
        <f>工业富联资产负债表!N71-工业富联资产负债表!O71</f>
        <v>0</v>
      </c>
      <c r="H71" s="48">
        <f>工业富联资产负债表!O71-工业富联资产负债表!P71</f>
        <v>0</v>
      </c>
      <c r="I71" s="48">
        <f t="shared" si="3"/>
        <v>0</v>
      </c>
      <c r="J71" s="48">
        <f t="shared" si="2"/>
        <v>0</v>
      </c>
    </row>
    <row r="72" spans="1:10" ht="17">
      <c r="A72" s="51" t="s">
        <v>298</v>
      </c>
      <c r="B72" s="48">
        <f>工业富联资产负债表!C72-工业富联资产负债表!G72</f>
        <v>-58936000</v>
      </c>
      <c r="C72" s="48">
        <f>工业富联资产负债表!G72-工业富联资产负债表!K72</f>
        <v>-117923000</v>
      </c>
      <c r="D72" s="48">
        <f>工业富联资产负债表!K72-工业富联资产负债表!L72</f>
        <v>1187146000</v>
      </c>
      <c r="E72" s="48">
        <f>工业富联资产负债表!L72-工业富联资产负债表!M72</f>
        <v>0</v>
      </c>
      <c r="F72" s="48">
        <f>工业富联资产负债表!M72-工业富联资产负债表!N72</f>
        <v>0</v>
      </c>
      <c r="G72" s="48">
        <f>工业富联资产负债表!N72-工业富联资产负债表!O72</f>
        <v>0</v>
      </c>
      <c r="H72" s="48">
        <f>工业富联资产负债表!O72-工业富联资产负债表!P72</f>
        <v>0</v>
      </c>
      <c r="I72" s="48">
        <f t="shared" si="3"/>
        <v>1010287000</v>
      </c>
      <c r="J72" s="48">
        <f t="shared" si="2"/>
        <v>1010287000</v>
      </c>
    </row>
    <row r="73" spans="1:10" ht="16">
      <c r="A73" s="40" t="s">
        <v>299</v>
      </c>
      <c r="B73" s="48">
        <f>工业富联资产负债表!C73-工业富联资产负债表!G73</f>
        <v>0</v>
      </c>
      <c r="C73" s="48">
        <f>工业富联资产负债表!G73-工业富联资产负债表!K73</f>
        <v>0</v>
      </c>
      <c r="D73" s="48">
        <f>工业富联资产负债表!K73-工业富联资产负债表!L73</f>
        <v>0</v>
      </c>
      <c r="E73" s="48">
        <f>工业富联资产负债表!L73-工业富联资产负债表!M73</f>
        <v>0</v>
      </c>
      <c r="F73" s="48">
        <f>工业富联资产负债表!M73-工业富联资产负债表!N73</f>
        <v>0</v>
      </c>
      <c r="G73" s="48">
        <f>工业富联资产负债表!N73-工业富联资产负债表!O73</f>
        <v>0</v>
      </c>
      <c r="H73" s="48">
        <f>工业富联资产负债表!O73-工业富联资产负债表!P73</f>
        <v>0</v>
      </c>
      <c r="I73" s="48">
        <f t="shared" si="3"/>
        <v>0</v>
      </c>
      <c r="J73" s="48">
        <f t="shared" si="2"/>
        <v>0</v>
      </c>
    </row>
    <row r="74" spans="1:10" ht="17">
      <c r="A74" s="52" t="s">
        <v>300</v>
      </c>
      <c r="B74" s="48">
        <f>工业富联资产负债表!C74-工业富联资产负债表!G74</f>
        <v>0</v>
      </c>
      <c r="C74" s="48">
        <f>工业富联资产负债表!G74-工业富联资产负债表!K74</f>
        <v>0</v>
      </c>
      <c r="D74" s="48">
        <f>工业富联资产负债表!K74-工业富联资产负债表!L74</f>
        <v>0</v>
      </c>
      <c r="E74" s="48">
        <f>工业富联资产负债表!L74-工业富联资产负债表!M74</f>
        <v>0</v>
      </c>
      <c r="F74" s="48">
        <f>工业富联资产负债表!M74-工业富联资产负债表!N74</f>
        <v>0</v>
      </c>
      <c r="G74" s="48">
        <f>工业富联资产负债表!N74-工业富联资产负债表!O74</f>
        <v>0</v>
      </c>
      <c r="H74" s="48">
        <f>工业富联资产负债表!O74-工业富联资产负债表!P74</f>
        <v>0</v>
      </c>
      <c r="I74" s="48">
        <f t="shared" si="3"/>
        <v>0</v>
      </c>
      <c r="J74" s="48">
        <f t="shared" si="2"/>
        <v>0</v>
      </c>
    </row>
    <row r="75" spans="1:10" ht="16">
      <c r="A75" s="40" t="s">
        <v>301</v>
      </c>
      <c r="B75" s="48">
        <f>工业富联资产负债表!C75-工业富联资产负债表!G75</f>
        <v>0</v>
      </c>
      <c r="C75" s="48">
        <f>工业富联资产负债表!G75-工业富联资产负债表!K75</f>
        <v>0</v>
      </c>
      <c r="D75" s="48">
        <f>工业富联资产负债表!K75-工业富联资产负债表!L75</f>
        <v>0</v>
      </c>
      <c r="E75" s="48">
        <f>工业富联资产负债表!L75-工业富联资产负债表!M75</f>
        <v>0</v>
      </c>
      <c r="F75" s="48">
        <f>工业富联资产负债表!M75-工业富联资产负债表!N75</f>
        <v>0</v>
      </c>
      <c r="G75" s="48">
        <f>工业富联资产负债表!N75-工业富联资产负债表!O75</f>
        <v>0</v>
      </c>
      <c r="H75" s="48">
        <f>工业富联资产负债表!O75-工业富联资产负债表!P75</f>
        <v>0</v>
      </c>
      <c r="I75" s="48">
        <f t="shared" si="3"/>
        <v>0</v>
      </c>
      <c r="J75" s="48">
        <f t="shared" si="2"/>
        <v>0</v>
      </c>
    </row>
    <row r="76" spans="1:10" ht="16">
      <c r="A76" s="40" t="s">
        <v>302</v>
      </c>
      <c r="B76" s="48">
        <f>工业富联资产负债表!C76-工业富联资产负债表!G76</f>
        <v>0</v>
      </c>
      <c r="C76" s="48">
        <f>工业富联资产负债表!G76-工业富联资产负债表!K76</f>
        <v>0</v>
      </c>
      <c r="D76" s="48">
        <f>工业富联资产负债表!K76-工业富联资产负债表!L76</f>
        <v>0</v>
      </c>
      <c r="E76" s="48">
        <f>工业富联资产负债表!L76-工业富联资产负债表!M76</f>
        <v>0</v>
      </c>
      <c r="F76" s="48">
        <f>工业富联资产负债表!M76-工业富联资产负债表!N76</f>
        <v>0</v>
      </c>
      <c r="G76" s="48">
        <f>工业富联资产负债表!N76-工业富联资产负债表!O76</f>
        <v>0</v>
      </c>
      <c r="H76" s="48">
        <f>工业富联资产负债表!O76-工业富联资产负债表!P76</f>
        <v>0</v>
      </c>
      <c r="I76" s="48">
        <f t="shared" si="3"/>
        <v>0</v>
      </c>
      <c r="J76" s="48">
        <f t="shared" si="2"/>
        <v>0</v>
      </c>
    </row>
    <row r="77" spans="1:10" ht="16">
      <c r="A77" s="40" t="s">
        <v>303</v>
      </c>
      <c r="B77" s="48">
        <f>工业富联资产负债表!C77-工业富联资产负债表!G77</f>
        <v>-24533000</v>
      </c>
      <c r="C77" s="48">
        <f>工业富联资产负债表!G77-工业富联资产负债表!K77</f>
        <v>60855000</v>
      </c>
      <c r="D77" s="48">
        <f>工业富联资产负债表!K77-工业富联资产负债表!L77</f>
        <v>-98140000</v>
      </c>
      <c r="E77" s="48">
        <f>工业富联资产负债表!L77-工业富联资产负债表!M77</f>
        <v>345807000</v>
      </c>
      <c r="F77" s="48">
        <f>工业富联资产负债表!M77-工业富联资产负债表!N77</f>
        <v>14949000</v>
      </c>
      <c r="G77" s="48">
        <f>工业富联资产负债表!N77-工业富联资产负债表!O77</f>
        <v>149950000</v>
      </c>
      <c r="H77" s="48">
        <f>工业富联资产负债表!O77-工业富联资产负债表!P77</f>
        <v>-192858000</v>
      </c>
      <c r="I77" s="48">
        <f t="shared" si="3"/>
        <v>256030000</v>
      </c>
      <c r="J77" s="48">
        <f t="shared" si="2"/>
        <v>298938000</v>
      </c>
    </row>
    <row r="78" spans="1:10" ht="16">
      <c r="A78" s="40" t="s">
        <v>304</v>
      </c>
      <c r="B78" s="48">
        <f>工业富联资产负债表!C78-工业富联资产负债表!G78</f>
        <v>-65540000</v>
      </c>
      <c r="C78" s="48">
        <f>工业富联资产负债表!G78-工业富联资产负债表!K78</f>
        <v>219954000</v>
      </c>
      <c r="D78" s="48">
        <f>工业富联资产负债表!K78-工业富联资产负债表!L78</f>
        <v>-89004000</v>
      </c>
      <c r="E78" s="48">
        <f>工业富联资产负债表!L78-工业富联资产负债表!M78</f>
        <v>55853000</v>
      </c>
      <c r="F78" s="48">
        <f>工业富联资产负债表!M78-工业富联资产负债表!N78</f>
        <v>-7961000</v>
      </c>
      <c r="G78" s="48">
        <f>工业富联资产负债表!N78-工业富联资产负债表!O78</f>
        <v>91305000</v>
      </c>
      <c r="H78" s="48">
        <f>工业富联资产负债表!O78-工业富联资产负债表!P78</f>
        <v>-1539000</v>
      </c>
      <c r="I78" s="48">
        <f t="shared" si="3"/>
        <v>203068000</v>
      </c>
      <c r="J78" s="48">
        <f t="shared" si="2"/>
        <v>113302000</v>
      </c>
    </row>
    <row r="79" spans="1:10" ht="16">
      <c r="A79" s="40" t="s">
        <v>305</v>
      </c>
      <c r="B79" s="48">
        <f>工业富联资产负债表!C79-工业富联资产负债表!G79</f>
        <v>-76560000</v>
      </c>
      <c r="C79" s="48">
        <f>工业富联资产负债表!G79-工业富联资产负债表!K79</f>
        <v>52975000</v>
      </c>
      <c r="D79" s="48">
        <f>工业富联资产负债表!K79-工业富联资产负债表!L79</f>
        <v>30396000</v>
      </c>
      <c r="E79" s="48">
        <f>工业富联资产负债表!L79-工业富联资产负债表!M79</f>
        <v>254503000</v>
      </c>
      <c r="F79" s="48">
        <f>工业富联资产负债表!M79-工业富联资产负债表!N79</f>
        <v>11821000</v>
      </c>
      <c r="G79" s="48">
        <f>工业富联资产负债表!N79-工业富联资产负债表!O79</f>
        <v>-362000</v>
      </c>
      <c r="H79" s="48">
        <f>工业富联资产负债表!O79-工业富联资产负债表!P79</f>
        <v>1496000</v>
      </c>
      <c r="I79" s="48">
        <f t="shared" si="3"/>
        <v>274269000</v>
      </c>
      <c r="J79" s="48">
        <f t="shared" si="2"/>
        <v>273135000</v>
      </c>
    </row>
    <row r="80" spans="1:10" ht="16">
      <c r="A80" s="40" t="s">
        <v>306</v>
      </c>
      <c r="B80" s="48">
        <f>工业富联资产负债表!C80-工业富联资产负债表!G80</f>
        <v>0</v>
      </c>
      <c r="C80" s="48">
        <f>工业富联资产负债表!G80-工业富联资产负债表!K80</f>
        <v>0</v>
      </c>
      <c r="D80" s="48">
        <f>工业富联资产负债表!K80-工业富联资产负债表!L80</f>
        <v>0</v>
      </c>
      <c r="E80" s="48">
        <f>工业富联资产负债表!L80-工业富联资产负债表!M80</f>
        <v>0</v>
      </c>
      <c r="F80" s="48">
        <f>工业富联资产负债表!M80-工业富联资产负债表!N80</f>
        <v>0</v>
      </c>
      <c r="G80" s="48">
        <f>工业富联资产负债表!N80-工业富联资产负债表!O80</f>
        <v>0</v>
      </c>
      <c r="H80" s="48">
        <f>工业富联资产负债表!O80-工业富联资产负债表!P80</f>
        <v>0</v>
      </c>
      <c r="I80" s="48">
        <f t="shared" si="3"/>
        <v>0</v>
      </c>
      <c r="J80" s="48">
        <f t="shared" si="2"/>
        <v>0</v>
      </c>
    </row>
    <row r="81" spans="1:10" ht="16">
      <c r="A81" s="40" t="s">
        <v>307</v>
      </c>
      <c r="B81" s="48">
        <f>工业富联资产负债表!C81-工业富联资产负债表!G81</f>
        <v>3386867000</v>
      </c>
      <c r="C81" s="48">
        <f>工业富联资产负债表!G81-工业富联资产负债表!K81</f>
        <v>-113979000</v>
      </c>
      <c r="D81" s="48">
        <f>工业富联资产负债表!K81-工业富联资产负债表!L81</f>
        <v>4844520000</v>
      </c>
      <c r="E81" s="48">
        <f>工业富联资产负债表!L81-工业富联资产负债表!M81</f>
        <v>656388000</v>
      </c>
      <c r="F81" s="48">
        <f>工业富联资产负债表!M81-工业富联资产负债表!N81</f>
        <v>18809000</v>
      </c>
      <c r="G81" s="48">
        <f>工业富联资产负债表!N81-工业富联资产负债表!O81</f>
        <v>240893000</v>
      </c>
      <c r="H81" s="48">
        <f>工业富联资产负债表!O81-工业富联资产负债表!P81</f>
        <v>-192901000</v>
      </c>
      <c r="I81" s="48">
        <f t="shared" si="3"/>
        <v>8840597000</v>
      </c>
      <c r="J81" s="48">
        <f t="shared" si="2"/>
        <v>8792605000</v>
      </c>
    </row>
    <row r="82" spans="1:10" s="56" customFormat="1" ht="16">
      <c r="A82" s="40" t="s">
        <v>308</v>
      </c>
      <c r="B82" s="48">
        <f>工业富联资产负债表!C82-工业富联资产负债表!G82</f>
        <v>-7744190000</v>
      </c>
      <c r="C82" s="48">
        <f>工业富联资产负债表!G82-工业富联资产负债表!K82</f>
        <v>7733071000</v>
      </c>
      <c r="D82" s="48">
        <f>工业富联资产负债表!K82-工业富联资产负债表!L82</f>
        <v>25647839000</v>
      </c>
      <c r="E82" s="48">
        <f>工业富联资产负债表!L82-工业富联资产负债表!M82</f>
        <v>5208992000</v>
      </c>
      <c r="F82" s="48">
        <f>工业富联资产负债表!M82-工业富联资产负债表!N82</f>
        <v>-11994430000</v>
      </c>
      <c r="G82" s="48">
        <f>工业富联资产负债表!N82-工业富联资产负债表!O82</f>
        <v>7845031000</v>
      </c>
      <c r="H82" s="48">
        <f>工业富联资产负债表!O82-工业富联资产负债表!P82</f>
        <v>62192632000</v>
      </c>
      <c r="I82" s="48">
        <f t="shared" si="3"/>
        <v>88888945000</v>
      </c>
      <c r="J82" s="48">
        <f t="shared" si="2"/>
        <v>18851282000</v>
      </c>
    </row>
    <row r="83" spans="1:10" ht="16">
      <c r="A83" s="40" t="s">
        <v>309</v>
      </c>
      <c r="B83" s="48">
        <f>工业富联资产负债表!C83-工业富联资产负债表!G83</f>
        <v>0</v>
      </c>
      <c r="C83" s="48">
        <f>工业富联资产负债表!G83-工业富联资产负债表!K83</f>
        <v>0</v>
      </c>
      <c r="D83" s="48">
        <f>工业富联资产负债表!K83-工业富联资产负债表!L83</f>
        <v>0</v>
      </c>
      <c r="E83" s="48">
        <f>工业富联资产负债表!L83-工业富联资产负债表!M83</f>
        <v>0</v>
      </c>
      <c r="F83" s="48">
        <f>工业富联资产负债表!M83-工业富联资产负债表!N83</f>
        <v>0</v>
      </c>
      <c r="G83" s="48">
        <f>工业富联资产负债表!N83-工业富联资产负债表!O83</f>
        <v>0</v>
      </c>
      <c r="H83" s="48">
        <f>工业富联资产负债表!O83-工业富联资产负债表!P83</f>
        <v>0</v>
      </c>
      <c r="I83" s="48">
        <f t="shared" si="3"/>
        <v>0</v>
      </c>
      <c r="J83" s="48">
        <f t="shared" si="2"/>
        <v>0</v>
      </c>
    </row>
    <row r="84" spans="1:10" ht="16">
      <c r="A84" s="40" t="s">
        <v>310</v>
      </c>
      <c r="B84" s="48">
        <f>工业富联资产负债表!C84-工业富联资产负债表!G84</f>
        <v>6513000</v>
      </c>
      <c r="C84" s="48">
        <f>工业富联资产负债表!G84-工业富联资产负债表!K84</f>
        <v>-5477000</v>
      </c>
      <c r="D84" s="48">
        <f>工业富联资产负债表!K84-工业富联资产负债表!L84</f>
        <v>-5576000</v>
      </c>
      <c r="E84" s="48">
        <f>工业富联资产负债表!L84-工业富联资产负债表!M84</f>
        <v>15814000</v>
      </c>
      <c r="F84" s="48">
        <f>工业富联资产负债表!M84-工业富联资产负债表!N84</f>
        <v>159532000</v>
      </c>
      <c r="G84" s="48">
        <f>工业富联资产负债表!N84-工业富联资产负债表!O84</f>
        <v>1969530000</v>
      </c>
      <c r="H84" s="48">
        <f>工业富联资产负债表!O84-工业富联资产负债表!P84</f>
        <v>17725770000</v>
      </c>
      <c r="I84" s="48">
        <f t="shared" si="3"/>
        <v>19866106000</v>
      </c>
      <c r="J84" s="48">
        <f t="shared" si="2"/>
        <v>170806000</v>
      </c>
    </row>
    <row r="85" spans="1:10" ht="16">
      <c r="A85" s="40" t="s">
        <v>311</v>
      </c>
      <c r="B85" s="48">
        <f>工业富联资产负债表!C85-工业富联资产负债表!G85</f>
        <v>651434000</v>
      </c>
      <c r="C85" s="48">
        <f>工业富联资产负债表!G85-工业富联资产负债表!K85</f>
        <v>193771000</v>
      </c>
      <c r="D85" s="48">
        <f>工业富联资产负债表!K85-工业富联资产负债表!L85</f>
        <v>539388000</v>
      </c>
      <c r="E85" s="48">
        <f>工业富联资产负债表!L85-工业富联资产负债表!M85</f>
        <v>1065791000</v>
      </c>
      <c r="F85" s="48">
        <f>工业富联资产负债表!M85-工业富联资产负债表!N85</f>
        <v>1570290000</v>
      </c>
      <c r="G85" s="48">
        <f>工业富联资产负债表!N85-工业富联资产负债表!O85</f>
        <v>25121959000</v>
      </c>
      <c r="H85" s="48">
        <f>工业富联资产负债表!O85-工业富联资产负债表!P85</f>
        <v>-27823232000</v>
      </c>
      <c r="I85" s="48">
        <f t="shared" si="3"/>
        <v>1319401000</v>
      </c>
      <c r="J85" s="48">
        <f t="shared" si="2"/>
        <v>4020674000</v>
      </c>
    </row>
    <row r="86" spans="1:10" ht="16">
      <c r="A86" s="40" t="s">
        <v>312</v>
      </c>
      <c r="B86" s="48">
        <f>工业富联资产负债表!C86-工业富联资产负债表!G86</f>
        <v>-193928000</v>
      </c>
      <c r="C86" s="48">
        <f>工业富联资产负债表!G86-工业富联资产负债表!K86</f>
        <v>1688996000</v>
      </c>
      <c r="D86" s="48">
        <f>工业富联资产负债表!K86-工业富联资产负债表!L86</f>
        <v>-289624000</v>
      </c>
      <c r="E86" s="48">
        <f>工业富联资产负债表!L86-工业富联资产负债表!M86</f>
        <v>-133617000</v>
      </c>
      <c r="F86" s="48">
        <f>工业富联资产负债表!M86-工业富联资产负债表!N86</f>
        <v>942148000</v>
      </c>
      <c r="G86" s="48">
        <f>工业富联资产负债表!N86-工业富联资产负债表!O86</f>
        <v>0</v>
      </c>
      <c r="H86" s="48">
        <f>工业富联资产负债表!O86-工业富联资产负债表!P86</f>
        <v>0</v>
      </c>
      <c r="I86" s="48">
        <f t="shared" si="3"/>
        <v>2013975000</v>
      </c>
      <c r="J86" s="48">
        <f t="shared" si="2"/>
        <v>2013975000</v>
      </c>
    </row>
    <row r="87" spans="1:10" ht="16">
      <c r="A87" s="40" t="s">
        <v>313</v>
      </c>
      <c r="B87" s="48">
        <f>工业富联资产负债表!C87-工业富联资产负债表!G87</f>
        <v>236899000</v>
      </c>
      <c r="C87" s="48">
        <f>工业富联资产负债表!G87-工业富联资产负债表!K87</f>
        <v>1106340000</v>
      </c>
      <c r="D87" s="48">
        <f>工业富联资产负债表!K87-工业富联资产负债表!L87</f>
        <v>-442464000</v>
      </c>
      <c r="E87" s="48">
        <f>工业富联资产负债表!L87-工业富联资产负债表!M87</f>
        <v>-203830000</v>
      </c>
      <c r="F87" s="48">
        <f>工业富联资产负债表!M87-工业富联资产负债表!N87</f>
        <v>151374000</v>
      </c>
      <c r="G87" s="48">
        <f>工业富联资产负债表!N87-工业富联资产负债表!O87</f>
        <v>139779000</v>
      </c>
      <c r="H87" s="48">
        <f>工业富联资产负债表!O87-工业富联资产负债表!P87</f>
        <v>-2485163000</v>
      </c>
      <c r="I87" s="48">
        <f t="shared" si="3"/>
        <v>-1497065000</v>
      </c>
      <c r="J87" s="48">
        <f t="shared" si="2"/>
        <v>848319000</v>
      </c>
    </row>
    <row r="88" spans="1:10" ht="16">
      <c r="A88" s="40" t="s">
        <v>314</v>
      </c>
      <c r="B88" s="48">
        <f>工业富联资产负债表!C88-工业富联资产负债表!G88</f>
        <v>0</v>
      </c>
      <c r="C88" s="48">
        <f>工业富联资产负债表!G88-工业富联资产负债表!K88</f>
        <v>0</v>
      </c>
      <c r="D88" s="48">
        <f>工业富联资产负债表!K88-工业富联资产负债表!L88</f>
        <v>0</v>
      </c>
      <c r="E88" s="48">
        <f>工业富联资产负债表!L88-工业富联资产负债表!M88</f>
        <v>0</v>
      </c>
      <c r="F88" s="48">
        <f>工业富联资产负债表!M88-工业富联资产负债表!N88</f>
        <v>0</v>
      </c>
      <c r="G88" s="48">
        <f>工业富联资产负债表!N88-工业富联资产负债表!O88</f>
        <v>0</v>
      </c>
      <c r="H88" s="48">
        <f>工业富联资产负债表!O88-工业富联资产负债表!P88</f>
        <v>0</v>
      </c>
      <c r="I88" s="48">
        <f t="shared" si="3"/>
        <v>0</v>
      </c>
      <c r="J88" s="48">
        <f t="shared" si="2"/>
        <v>0</v>
      </c>
    </row>
    <row r="89" spans="1:10" ht="16">
      <c r="A89" s="40" t="s">
        <v>315</v>
      </c>
      <c r="B89" s="48">
        <f>工业富联资产负债表!C89-工业富联资产负债表!G89</f>
        <v>1341732000</v>
      </c>
      <c r="C89" s="48">
        <f>工业富联资产负债表!G89-工业富联资产负债表!K89</f>
        <v>1037821000</v>
      </c>
      <c r="D89" s="48">
        <f>工业富联资产负债表!K89-工业富联资产负债表!L89</f>
        <v>1334203000</v>
      </c>
      <c r="E89" s="48">
        <f>工业富联资产负债表!L89-工业富联资产负债表!M89</f>
        <v>697221000</v>
      </c>
      <c r="F89" s="48">
        <f>工业富联资产负债表!M89-工业富联资产负债表!N89</f>
        <v>451031000</v>
      </c>
      <c r="G89" s="48">
        <f>工业富联资产负债表!N89-工业富联资产负债表!O89</f>
        <v>289183000</v>
      </c>
      <c r="H89" s="48">
        <f>工业富联资产负债表!O89-工业富联资产负债表!P89</f>
        <v>0</v>
      </c>
      <c r="I89" s="48">
        <f t="shared" si="3"/>
        <v>5151191000</v>
      </c>
      <c r="J89" s="48">
        <f t="shared" si="2"/>
        <v>4862008000</v>
      </c>
    </row>
    <row r="90" spans="1:10" ht="16">
      <c r="A90" s="40" t="s">
        <v>316</v>
      </c>
      <c r="B90" s="48">
        <f>工业富联资产负债表!C90-工业富联资产负债表!G90</f>
        <v>0</v>
      </c>
      <c r="C90" s="48">
        <f>工业富联资产负债表!G90-工业富联资产负债表!K90</f>
        <v>0</v>
      </c>
      <c r="D90" s="48">
        <f>工业富联资产负债表!K90-工业富联资产负债表!L90</f>
        <v>0</v>
      </c>
      <c r="E90" s="48">
        <f>工业富联资产负债表!L90-工业富联资产负债表!M90</f>
        <v>0</v>
      </c>
      <c r="F90" s="48">
        <f>工业富联资产负债表!M90-工业富联资产负债表!N90</f>
        <v>0</v>
      </c>
      <c r="G90" s="48">
        <f>工业富联资产负债表!N90-工业富联资产负债表!O90</f>
        <v>0</v>
      </c>
      <c r="H90" s="48">
        <f>工业富联资产负债表!O90-工业富联资产负债表!P90</f>
        <v>0</v>
      </c>
      <c r="I90" s="48">
        <f t="shared" si="3"/>
        <v>0</v>
      </c>
      <c r="J90" s="48">
        <f t="shared" si="2"/>
        <v>0</v>
      </c>
    </row>
    <row r="91" spans="1:10" ht="16">
      <c r="A91" s="40" t="s">
        <v>317</v>
      </c>
      <c r="B91" s="48">
        <f>工业富联资产负债表!C91-工业富联资产负债表!G91</f>
        <v>8781755000</v>
      </c>
      <c r="C91" s="48">
        <f>工业富联资产负债表!G91-工业富联资产负债表!K91</f>
        <v>9151131000</v>
      </c>
      <c r="D91" s="48">
        <f>工业富联资产负债表!K91-工业富联资产负债表!L91</f>
        <v>13712878000</v>
      </c>
      <c r="E91" s="48">
        <f>工业富联资产负债表!L91-工业富联资产负债表!M91</f>
        <v>12763256000</v>
      </c>
      <c r="F91" s="48">
        <f>工业富联资产负债表!M91-工业富联资产负债表!N91</f>
        <v>15595967000</v>
      </c>
      <c r="G91" s="48">
        <f>工业富联资产负债表!N91-工业富联资产负债表!O91</f>
        <v>16613124000</v>
      </c>
      <c r="H91" s="48">
        <f>工业富联资产负债表!O91-工业富联资产负债表!P91</f>
        <v>-36559400000</v>
      </c>
      <c r="I91" s="48">
        <f t="shared" si="3"/>
        <v>40058711000</v>
      </c>
      <c r="J91" s="48">
        <f t="shared" si="2"/>
        <v>60004987000</v>
      </c>
    </row>
    <row r="92" spans="1:10" ht="16">
      <c r="A92" s="57" t="s">
        <v>318</v>
      </c>
      <c r="B92" s="48">
        <f>工业富联资产负债表!C92-工业富联资产负债表!G92</f>
        <v>11212261000</v>
      </c>
      <c r="C92" s="48">
        <f>工业富联资产负债表!G92-工业富联资产负债表!K92</f>
        <v>9794590000</v>
      </c>
      <c r="D92" s="48">
        <f>工业富联资产负债表!K92-工业富联资产负债表!L92</f>
        <v>15428053000</v>
      </c>
      <c r="E92" s="48">
        <f>工业富联资产负债表!L92-工业富联资产负债表!M92</f>
        <v>14471869000</v>
      </c>
      <c r="F92" s="48">
        <f>工业富联资产负债表!M92-工业富联资产负债表!N92</f>
        <v>16986046000</v>
      </c>
      <c r="G92" s="48">
        <f>工业富联资产负债表!N92-工业富联资产负债表!O92</f>
        <v>44133575000</v>
      </c>
      <c r="H92" s="48">
        <f>工业富联资产负债表!O92-工业富联资产负债表!P92</f>
        <v>-49142025000</v>
      </c>
      <c r="I92" s="48">
        <f t="shared" si="3"/>
        <v>62884369000</v>
      </c>
      <c r="J92" s="48">
        <f t="shared" si="2"/>
        <v>67892819000</v>
      </c>
    </row>
    <row r="93" spans="1:10" ht="16">
      <c r="A93" s="40" t="s">
        <v>319</v>
      </c>
      <c r="B93" s="48">
        <f>工业富联资产负债表!C93-工业富联资产负债表!G93</f>
        <v>49568000</v>
      </c>
      <c r="C93" s="48">
        <f>工业富联资产负债表!G93-工业富联资产负债表!K93</f>
        <v>51226000</v>
      </c>
      <c r="D93" s="48">
        <f>工业富联资产负债表!K93-工业富联资产负债表!L93</f>
        <v>18939000</v>
      </c>
      <c r="E93" s="48">
        <f>工业富联资产负债表!L93-工业富联资产负债表!M93</f>
        <v>220138000</v>
      </c>
      <c r="F93" s="48">
        <f>工业富联资产负债表!M93-工业富联资产负债表!N93</f>
        <v>18005000</v>
      </c>
      <c r="G93" s="48">
        <f>工业富联资产负债表!N93-工业富联资产负债表!O93</f>
        <v>28477000</v>
      </c>
      <c r="H93" s="48">
        <f>工业富联资产负债表!O93-工业富联资产负债表!P93</f>
        <v>-198025000</v>
      </c>
      <c r="I93" s="48">
        <f t="shared" si="3"/>
        <v>188328000</v>
      </c>
      <c r="J93" s="48">
        <f t="shared" si="2"/>
        <v>357876000</v>
      </c>
    </row>
    <row r="94" spans="1:10" ht="16">
      <c r="A94" s="40" t="s">
        <v>320</v>
      </c>
      <c r="B94" s="48">
        <f>工业富联资产负债表!C94-工业富联资产负债表!G94</f>
        <v>11261829000</v>
      </c>
      <c r="C94" s="48">
        <f>工业富联资产负债表!G94-工业富联资产负债表!K94</f>
        <v>9845816000</v>
      </c>
      <c r="D94" s="48">
        <f>工业富联资产负债表!K94-工业富联资产负债表!L94</f>
        <v>15446992000</v>
      </c>
      <c r="E94" s="48">
        <f>工业富联资产负债表!L94-工业富联资产负债表!M94</f>
        <v>14692007000</v>
      </c>
      <c r="F94" s="48">
        <f>工业富联资产负债表!M94-工业富联资产负债表!N94</f>
        <v>17004051000</v>
      </c>
      <c r="G94" s="48">
        <f>工业富联资产负债表!N94-工业富联资产负债表!O94</f>
        <v>44162052000</v>
      </c>
      <c r="H94" s="48">
        <f>工业富联资产负债表!O94-工业富联资产负债表!P94</f>
        <v>-49340050000</v>
      </c>
      <c r="I94" s="48">
        <f t="shared" si="3"/>
        <v>63072697000</v>
      </c>
      <c r="J94" s="48">
        <f t="shared" si="2"/>
        <v>68250695000</v>
      </c>
    </row>
    <row r="95" spans="1:10" ht="16">
      <c r="A95" s="40" t="s">
        <v>321</v>
      </c>
      <c r="B95" s="48">
        <f>工业富联资产负债表!C95-工业富联资产负债表!G95</f>
        <v>3517639000</v>
      </c>
      <c r="C95" s="48">
        <f>工业富联资产负债表!G95-工业富联资产负债表!K95</f>
        <v>17578887000</v>
      </c>
      <c r="D95" s="48">
        <f>工业富联资产负债表!K95-工业富联资产负债表!L95</f>
        <v>41094831000</v>
      </c>
      <c r="E95" s="48">
        <f>工业富联资产负债表!L95-工业富联资产负债表!M95</f>
        <v>19900999000</v>
      </c>
      <c r="F95" s="48">
        <f>工业富联资产负债表!M95-工业富联资产负债表!N95</f>
        <v>5009621000</v>
      </c>
      <c r="G95" s="48">
        <f>工业富联资产负债表!N95-工业富联资产负债表!O95</f>
        <v>52007083000</v>
      </c>
      <c r="H95" s="48">
        <f>工业富联资产负债表!O95-工业富联资产负债表!P95</f>
        <v>12852582000</v>
      </c>
      <c r="I95" s="48">
        <f t="shared" si="3"/>
        <v>151961642000</v>
      </c>
      <c r="J95" s="48">
        <f t="shared" si="2"/>
        <v>87101977000</v>
      </c>
    </row>
    <row r="96" spans="1:10" ht="16">
      <c r="C96" s="48"/>
      <c r="D96" s="48"/>
      <c r="E96" s="48"/>
      <c r="F96" s="48"/>
      <c r="G96" s="48"/>
      <c r="H96" s="48"/>
      <c r="I96" s="48">
        <f t="shared" si="3"/>
        <v>0</v>
      </c>
      <c r="J96" s="48">
        <f t="shared" si="2"/>
        <v>0</v>
      </c>
    </row>
    <row r="97" spans="1:10" ht="16">
      <c r="A97" s="58" t="s">
        <v>322</v>
      </c>
      <c r="B97" s="59">
        <f t="shared" ref="B97:H97" si="4">B4+B5+B6+B8+B10+B16+B22-B51-B53</f>
        <v>14605075000</v>
      </c>
      <c r="C97" s="59">
        <f t="shared" si="4"/>
        <v>-13545201000</v>
      </c>
      <c r="D97" s="59">
        <f t="shared" si="4"/>
        <v>4741719000</v>
      </c>
      <c r="E97" s="59">
        <f t="shared" si="4"/>
        <v>11689713000</v>
      </c>
      <c r="F97" s="59">
        <f t="shared" si="4"/>
        <v>3943002000</v>
      </c>
      <c r="G97" s="59">
        <f t="shared" si="4"/>
        <v>45423598000</v>
      </c>
      <c r="H97" s="59">
        <f t="shared" si="4"/>
        <v>13281926000</v>
      </c>
      <c r="I97" s="48">
        <f t="shared" si="3"/>
        <v>80139832000</v>
      </c>
      <c r="J97" s="48">
        <f t="shared" si="2"/>
        <v>21434308000</v>
      </c>
    </row>
    <row r="98" spans="1:10" ht="16">
      <c r="A98" s="60" t="s">
        <v>323</v>
      </c>
      <c r="B98" s="59">
        <f t="shared" ref="B98:H98" si="5">B9-B54</f>
        <v>-14955450000</v>
      </c>
      <c r="C98" s="59">
        <f t="shared" si="5"/>
        <v>13101014000</v>
      </c>
      <c r="D98" s="59">
        <f t="shared" si="5"/>
        <v>-9389735000</v>
      </c>
      <c r="E98" s="59">
        <f t="shared" si="5"/>
        <v>7360312000</v>
      </c>
      <c r="F98" s="59">
        <f t="shared" si="5"/>
        <v>936204000</v>
      </c>
      <c r="G98" s="59">
        <f t="shared" si="5"/>
        <v>14682297000</v>
      </c>
      <c r="H98" s="59">
        <f t="shared" si="5"/>
        <v>-9856988000</v>
      </c>
      <c r="I98" s="48">
        <f t="shared" si="3"/>
        <v>1877654000</v>
      </c>
      <c r="J98" s="48">
        <f t="shared" si="2"/>
        <v>-2947655000</v>
      </c>
    </row>
    <row r="99" spans="1:10" ht="16">
      <c r="A99" s="60" t="s">
        <v>324</v>
      </c>
      <c r="B99" s="61">
        <f t="shared" ref="B99:H99" si="6">B15-B62</f>
        <v>1821667000</v>
      </c>
      <c r="C99" s="61">
        <f t="shared" si="6"/>
        <v>-8730358000</v>
      </c>
      <c r="D99" s="61">
        <f t="shared" si="6"/>
        <v>-314603000</v>
      </c>
      <c r="E99" s="61">
        <f t="shared" si="6"/>
        <v>6145920000</v>
      </c>
      <c r="F99" s="61">
        <f t="shared" si="6"/>
        <v>14373767000</v>
      </c>
      <c r="G99" s="61">
        <f t="shared" si="6"/>
        <v>2512129000</v>
      </c>
      <c r="H99" s="61">
        <f t="shared" si="6"/>
        <v>-52945331000</v>
      </c>
      <c r="I99" s="48">
        <f t="shared" si="3"/>
        <v>-37136809000</v>
      </c>
      <c r="J99" s="48">
        <f t="shared" si="2"/>
        <v>13296393000</v>
      </c>
    </row>
    <row r="100" spans="1:10" ht="16">
      <c r="A100" s="60" t="s">
        <v>325</v>
      </c>
      <c r="B100" s="59">
        <f t="shared" ref="B100:H100" si="7">B17</f>
        <v>-638405000</v>
      </c>
      <c r="C100" s="59">
        <f t="shared" si="7"/>
        <v>5393917000</v>
      </c>
      <c r="D100" s="59">
        <f t="shared" si="7"/>
        <v>26573937000</v>
      </c>
      <c r="E100" s="59">
        <f t="shared" si="7"/>
        <v>3707949000</v>
      </c>
      <c r="F100" s="59">
        <f t="shared" si="7"/>
        <v>4178316000</v>
      </c>
      <c r="G100" s="59">
        <f t="shared" si="7"/>
        <v>1916600000</v>
      </c>
      <c r="H100" s="59">
        <f t="shared" si="7"/>
        <v>6989595000</v>
      </c>
      <c r="I100" s="48">
        <f t="shared" si="3"/>
        <v>48121909000</v>
      </c>
      <c r="J100" s="48">
        <f t="shared" ref="J100:J114" si="8">SUM(B100:F100)</f>
        <v>39215714000</v>
      </c>
    </row>
    <row r="101" spans="1:10" ht="16">
      <c r="A101" s="60" t="s">
        <v>326</v>
      </c>
      <c r="B101" s="59">
        <f t="shared" ref="B101:H101" si="9">B23-B68-B97-B98-B99-B100+B102+B103</f>
        <v>4527630000</v>
      </c>
      <c r="C101" s="59">
        <f t="shared" si="9"/>
        <v>-4034651000</v>
      </c>
      <c r="D101" s="59">
        <f t="shared" si="9"/>
        <v>-666627000</v>
      </c>
      <c r="E101" s="59">
        <f t="shared" si="9"/>
        <v>12940000</v>
      </c>
      <c r="F101" s="59">
        <f t="shared" si="9"/>
        <v>157632000</v>
      </c>
      <c r="G101" s="59">
        <f t="shared" si="9"/>
        <v>-3449530000</v>
      </c>
      <c r="H101" s="59">
        <f t="shared" si="9"/>
        <v>86113000</v>
      </c>
      <c r="I101" s="48">
        <f t="shared" si="3"/>
        <v>-3366493000</v>
      </c>
      <c r="J101" s="48">
        <f t="shared" si="8"/>
        <v>-3076000</v>
      </c>
    </row>
    <row r="102" spans="1:10" ht="16">
      <c r="A102" s="62" t="s">
        <v>327</v>
      </c>
      <c r="B102" s="59">
        <f t="shared" ref="B102:H102" si="10">B50</f>
        <v>-9406793000</v>
      </c>
      <c r="C102" s="59">
        <f t="shared" si="10"/>
        <v>-1638962000</v>
      </c>
      <c r="D102" s="59">
        <f t="shared" si="10"/>
        <v>7913720000</v>
      </c>
      <c r="E102" s="59">
        <f t="shared" si="10"/>
        <v>15951649000</v>
      </c>
      <c r="F102" s="59">
        <f t="shared" si="10"/>
        <v>5781069000</v>
      </c>
      <c r="G102" s="59">
        <f t="shared" si="10"/>
        <v>15533417000</v>
      </c>
      <c r="H102" s="59">
        <f t="shared" si="10"/>
        <v>5313881000</v>
      </c>
      <c r="I102" s="48">
        <f t="shared" si="3"/>
        <v>39447981000</v>
      </c>
      <c r="J102" s="48">
        <f t="shared" si="8"/>
        <v>18600683000</v>
      </c>
    </row>
    <row r="103" spans="1:10" ht="17" thickBot="1">
      <c r="A103" s="63" t="s">
        <v>328</v>
      </c>
      <c r="B103" s="59">
        <f t="shared" ref="B103:H103" si="11">B55-B11</f>
        <v>97654000</v>
      </c>
      <c r="C103" s="59">
        <f t="shared" si="11"/>
        <v>-110750000</v>
      </c>
      <c r="D103" s="59">
        <f t="shared" si="11"/>
        <v>-70145000</v>
      </c>
      <c r="E103" s="59">
        <f t="shared" si="11"/>
        <v>-46028000</v>
      </c>
      <c r="F103" s="59">
        <f t="shared" si="11"/>
        <v>31805000</v>
      </c>
      <c r="G103" s="59">
        <f t="shared" si="11"/>
        <v>-101003000</v>
      </c>
      <c r="H103" s="59">
        <f t="shared" si="11"/>
        <v>-126463000</v>
      </c>
      <c r="I103" s="48">
        <f t="shared" si="3"/>
        <v>-324930000</v>
      </c>
      <c r="J103" s="48">
        <f t="shared" si="8"/>
        <v>-97464000</v>
      </c>
    </row>
    <row r="104" spans="1:10" ht="16">
      <c r="A104" s="64"/>
      <c r="B104" s="64"/>
      <c r="C104" s="59"/>
      <c r="D104" s="48"/>
      <c r="E104" s="48"/>
      <c r="F104" s="48"/>
      <c r="G104" s="48"/>
      <c r="H104" s="48"/>
      <c r="I104" s="48">
        <f t="shared" si="3"/>
        <v>0</v>
      </c>
      <c r="J104" s="48">
        <f t="shared" si="8"/>
        <v>0</v>
      </c>
    </row>
    <row r="105" spans="1:10" ht="16">
      <c r="A105" s="65" t="s">
        <v>329</v>
      </c>
      <c r="B105" s="48">
        <f>工业富联利润表!C24</f>
        <v>21040193000</v>
      </c>
      <c r="C105" s="48">
        <f>工业富联利润表!G24</f>
        <v>20073072000</v>
      </c>
      <c r="D105" s="48">
        <f>工业富联利润表!K24</f>
        <v>20009751000</v>
      </c>
      <c r="E105" s="48">
        <f>工业富联利润表!L24</f>
        <v>17430783000</v>
      </c>
      <c r="F105" s="48">
        <f>工业富联利润表!M24</f>
        <v>18606184000</v>
      </c>
      <c r="G105" s="48">
        <f>工业富联利润表!N24</f>
        <v>16902307000</v>
      </c>
      <c r="H105" s="48">
        <f>工业富联利润表!O24</f>
        <v>15867607000</v>
      </c>
      <c r="I105" s="66">
        <f>SUM(B105:H105)</f>
        <v>129929897000</v>
      </c>
      <c r="J105" s="66">
        <f t="shared" si="8"/>
        <v>97159983000</v>
      </c>
    </row>
    <row r="106" spans="1:10" ht="16">
      <c r="A106" s="67" t="s">
        <v>330</v>
      </c>
      <c r="B106" s="68">
        <f>-1092520.06*10000</f>
        <v>-10925200600</v>
      </c>
      <c r="C106" s="68">
        <v>-9890945200</v>
      </c>
      <c r="D106" s="68">
        <v>-4966789900</v>
      </c>
      <c r="E106" s="68">
        <v>-3974420500</v>
      </c>
      <c r="F106" s="68">
        <v>-2559938400</v>
      </c>
      <c r="G106" s="68"/>
      <c r="H106" s="68"/>
      <c r="I106" s="48">
        <f>SUM(B106:H106)</f>
        <v>-32317294600</v>
      </c>
      <c r="J106" s="48">
        <f t="shared" si="8"/>
        <v>-32317294600</v>
      </c>
    </row>
    <row r="107" spans="1:10" ht="16">
      <c r="A107" s="67" t="s">
        <v>331</v>
      </c>
      <c r="B107" s="68"/>
      <c r="C107" s="68"/>
      <c r="D107" s="68"/>
      <c r="E107" s="68"/>
      <c r="F107" s="68"/>
      <c r="G107" s="68">
        <v>26722900000</v>
      </c>
      <c r="H107" s="68"/>
      <c r="I107" s="48">
        <f>SUM(B107:H107)</f>
        <v>26722900000</v>
      </c>
      <c r="J107" s="48">
        <f t="shared" si="8"/>
        <v>0</v>
      </c>
    </row>
    <row r="108" spans="1:10">
      <c r="A108" s="56" t="s">
        <v>332</v>
      </c>
      <c r="B108" s="69">
        <f t="shared" ref="B108:H108" si="12">SUM(B105:B107)</f>
        <v>10114992400</v>
      </c>
      <c r="C108" s="69">
        <f t="shared" si="12"/>
        <v>10182126800</v>
      </c>
      <c r="D108" s="69">
        <f t="shared" si="12"/>
        <v>15042961100</v>
      </c>
      <c r="E108" s="69">
        <f t="shared" si="12"/>
        <v>13456362500</v>
      </c>
      <c r="F108" s="69">
        <f t="shared" si="12"/>
        <v>16046245600</v>
      </c>
      <c r="G108" s="69">
        <f t="shared" si="12"/>
        <v>43625207000</v>
      </c>
      <c r="H108" s="69">
        <f t="shared" si="12"/>
        <v>15867607000</v>
      </c>
      <c r="I108" s="66">
        <f>SUM(B108:H108)</f>
        <v>124335502400</v>
      </c>
      <c r="J108" s="66">
        <f t="shared" si="8"/>
        <v>64842688400</v>
      </c>
    </row>
    <row r="109" spans="1:10" ht="16">
      <c r="A109" s="44" t="s">
        <v>333</v>
      </c>
      <c r="B109" s="70">
        <f t="shared" ref="B109:H109" si="13">B92-B108</f>
        <v>1097268600</v>
      </c>
      <c r="C109" s="70">
        <f t="shared" si="13"/>
        <v>-387536800</v>
      </c>
      <c r="D109" s="70">
        <f t="shared" si="13"/>
        <v>385091900</v>
      </c>
      <c r="E109" s="70">
        <f t="shared" si="13"/>
        <v>1015506500</v>
      </c>
      <c r="F109" s="70">
        <f t="shared" si="13"/>
        <v>939800400</v>
      </c>
      <c r="G109" s="70">
        <f t="shared" si="13"/>
        <v>508368000</v>
      </c>
      <c r="H109" s="70">
        <f t="shared" si="13"/>
        <v>-65009632000</v>
      </c>
      <c r="I109" s="70">
        <f t="shared" si="3"/>
        <v>-61451133400</v>
      </c>
      <c r="J109" s="48">
        <f t="shared" si="8"/>
        <v>3050130600</v>
      </c>
    </row>
    <row r="110" spans="1:10" ht="16">
      <c r="A110" s="44"/>
      <c r="B110" s="44"/>
      <c r="C110" s="48"/>
      <c r="D110" s="48"/>
      <c r="E110" s="48"/>
      <c r="F110" s="48"/>
      <c r="G110" s="48"/>
      <c r="H110" s="48"/>
      <c r="I110" s="48">
        <f t="shared" si="3"/>
        <v>0</v>
      </c>
      <c r="J110" s="48">
        <f t="shared" si="8"/>
        <v>0</v>
      </c>
    </row>
    <row r="111" spans="1:10" ht="16">
      <c r="A111" s="65" t="s">
        <v>334</v>
      </c>
      <c r="B111" s="48">
        <f t="shared" ref="B111:H111" si="14">B105-B98-B100</f>
        <v>36634048000</v>
      </c>
      <c r="C111" s="48">
        <f t="shared" si="14"/>
        <v>1578141000</v>
      </c>
      <c r="D111" s="48">
        <f t="shared" si="14"/>
        <v>2825549000</v>
      </c>
      <c r="E111" s="48">
        <f t="shared" si="14"/>
        <v>6362522000</v>
      </c>
      <c r="F111" s="48">
        <f t="shared" si="14"/>
        <v>13491664000</v>
      </c>
      <c r="G111" s="48">
        <f t="shared" si="14"/>
        <v>303410000</v>
      </c>
      <c r="H111" s="48">
        <f t="shared" si="14"/>
        <v>18735000000</v>
      </c>
      <c r="I111" s="48">
        <f t="shared" si="3"/>
        <v>79930334000</v>
      </c>
      <c r="J111" s="48">
        <f t="shared" si="8"/>
        <v>60891924000</v>
      </c>
    </row>
    <row r="112" spans="1:10" ht="16">
      <c r="A112" s="65" t="s">
        <v>335</v>
      </c>
      <c r="B112" s="48">
        <f>工业富联现金流量表!C79</f>
        <v>33894031000</v>
      </c>
      <c r="C112" s="48">
        <f>工业富联现金流量表!G79</f>
        <v>7272337000</v>
      </c>
      <c r="D112" s="48">
        <f>工业富联现金流量表!K79</f>
        <v>2689270000</v>
      </c>
      <c r="E112" s="48">
        <f>工业富联现金流量表!L79</f>
        <v>4087457000</v>
      </c>
      <c r="F112" s="48">
        <f>工业富联现金流量表!M79</f>
        <v>3380861000</v>
      </c>
      <c r="G112" s="48">
        <f>工业富联现金流量表!N79</f>
        <v>18325099000</v>
      </c>
      <c r="H112" s="48">
        <f>工业富联现金流量表!O79</f>
        <v>7578146000</v>
      </c>
      <c r="I112" s="66">
        <f>SUM(B112:H112)</f>
        <v>77227201000</v>
      </c>
      <c r="J112" s="66">
        <f t="shared" si="8"/>
        <v>51323956000</v>
      </c>
    </row>
    <row r="113" spans="1:10" ht="16">
      <c r="A113" s="56" t="s">
        <v>336</v>
      </c>
      <c r="B113" s="48">
        <f>工业富联现金流量表!C13</f>
        <v>43083729000</v>
      </c>
      <c r="C113" s="48">
        <f>工业富联现金流量表!G13</f>
        <v>15365627000</v>
      </c>
      <c r="D113" s="48">
        <f>工业富联现金流量表!K13</f>
        <v>8724585000</v>
      </c>
      <c r="E113" s="48">
        <f>工业富联现金流量表!L13</f>
        <v>7693738000</v>
      </c>
      <c r="F113" s="48">
        <f>工业富联现金流量表!M13</f>
        <v>6439287000</v>
      </c>
      <c r="G113" s="48">
        <f>工业富联现金流量表!N13</f>
        <v>22005587000</v>
      </c>
      <c r="H113" s="48">
        <f>工业富联现金流量表!O13</f>
        <v>8513807000</v>
      </c>
      <c r="I113" s="48">
        <f t="shared" si="3"/>
        <v>111826360000</v>
      </c>
      <c r="J113" s="48">
        <f t="shared" si="8"/>
        <v>81306966000</v>
      </c>
    </row>
    <row r="114" spans="1:10" ht="16">
      <c r="A114" s="44" t="s">
        <v>337</v>
      </c>
      <c r="B114" s="48">
        <f t="shared" ref="B114:H114" si="15">B113-B105</f>
        <v>22043536000</v>
      </c>
      <c r="C114" s="48">
        <f t="shared" si="15"/>
        <v>-4707445000</v>
      </c>
      <c r="D114" s="48">
        <f t="shared" si="15"/>
        <v>-11285166000</v>
      </c>
      <c r="E114" s="48">
        <f t="shared" si="15"/>
        <v>-9737045000</v>
      </c>
      <c r="F114" s="48">
        <f t="shared" si="15"/>
        <v>-12166897000</v>
      </c>
      <c r="G114" s="48">
        <f t="shared" si="15"/>
        <v>5103280000</v>
      </c>
      <c r="H114" s="48">
        <f t="shared" si="15"/>
        <v>-7353800000</v>
      </c>
      <c r="I114" s="48">
        <f t="shared" si="3"/>
        <v>-18103537000</v>
      </c>
      <c r="J114" s="48">
        <f t="shared" si="8"/>
        <v>-15853017000</v>
      </c>
    </row>
    <row r="115" spans="1:10" ht="16">
      <c r="A115" s="54" t="s">
        <v>338</v>
      </c>
      <c r="B115" s="71">
        <f>B112/B117</f>
        <v>7.1155106408035462E-2</v>
      </c>
      <c r="C115" s="71">
        <f t="shared" ref="C115:J115" si="16">C112/C117</f>
        <v>1.4207957373351674E-2</v>
      </c>
      <c r="D115" s="71">
        <f t="shared" si="16"/>
        <v>6.1181344102443826E-3</v>
      </c>
      <c r="E115" s="71">
        <f t="shared" si="16"/>
        <v>9.4663978457767469E-3</v>
      </c>
      <c r="F115" s="71">
        <f t="shared" si="16"/>
        <v>8.2722804273216381E-3</v>
      </c>
      <c r="G115" s="71">
        <f t="shared" si="16"/>
        <v>4.4116713854282841E-2</v>
      </c>
      <c r="H115" s="71">
        <f>H112/H117</f>
        <v>2.1374354621087478E-2</v>
      </c>
      <c r="I115" s="71">
        <f t="shared" si="16"/>
        <v>2.5419137552285743E-2</v>
      </c>
      <c r="J115" s="71">
        <f t="shared" si="16"/>
        <v>2.2627312080538909E-2</v>
      </c>
    </row>
    <row r="116" spans="1:10" ht="16">
      <c r="A116" s="54"/>
      <c r="B116" s="54"/>
      <c r="C116" s="48"/>
      <c r="D116" s="48"/>
      <c r="E116" s="48"/>
      <c r="F116" s="48"/>
      <c r="G116" s="48"/>
      <c r="H116" s="48"/>
      <c r="I116" s="48">
        <f t="shared" si="3"/>
        <v>0</v>
      </c>
      <c r="J116" s="48">
        <f>SUM(B116:F116)</f>
        <v>0</v>
      </c>
    </row>
    <row r="117" spans="1:10" ht="16">
      <c r="A117" s="44" t="s">
        <v>339</v>
      </c>
      <c r="B117" s="48">
        <f>工业富联利润表!C4</f>
        <v>476340107000</v>
      </c>
      <c r="C117" s="48">
        <f>工业富联利润表!G4</f>
        <v>511849579000</v>
      </c>
      <c r="D117" s="48">
        <f>工业富联利润表!K4</f>
        <v>439557195000</v>
      </c>
      <c r="E117" s="48">
        <f>工业富联利润表!L4</f>
        <v>431785888000</v>
      </c>
      <c r="F117" s="48">
        <f>工业富联利润表!M4</f>
        <v>408697581000</v>
      </c>
      <c r="G117" s="48">
        <f>工业富联利润表!N4</f>
        <v>415377697000</v>
      </c>
      <c r="H117" s="48">
        <f>工业富联利润表!O4</f>
        <v>354543851000</v>
      </c>
      <c r="I117" s="48">
        <f>SUM(B117:H117)</f>
        <v>3038151898000</v>
      </c>
      <c r="J117" s="48">
        <f>SUM(B117:F117)</f>
        <v>2268230350000</v>
      </c>
    </row>
    <row r="118" spans="1:10" ht="16">
      <c r="A118" s="44" t="s">
        <v>340</v>
      </c>
      <c r="B118" s="48">
        <f>工业富联利润表!C10</f>
        <v>-585810000</v>
      </c>
      <c r="C118" s="48">
        <f>工业富联利润表!G10</f>
        <v>-703542000</v>
      </c>
      <c r="D118" s="48">
        <f>工业富联利润表!K10</f>
        <v>-826389000</v>
      </c>
      <c r="E118" s="48">
        <f>工业富联利润表!L10</f>
        <v>-236295000</v>
      </c>
      <c r="F118" s="48">
        <f>工业富联利润表!M10</f>
        <v>-735316000</v>
      </c>
      <c r="G118" s="48">
        <f>工业富联利润表!N10</f>
        <v>-324098000</v>
      </c>
      <c r="H118" s="48">
        <f>工业富联利润表!O10</f>
        <v>855147000</v>
      </c>
      <c r="I118" s="48">
        <f>SUM(B118:H118)</f>
        <v>-2556303000</v>
      </c>
      <c r="J118" s="48">
        <f>SUM(B118:F118)</f>
        <v>-3087352000</v>
      </c>
    </row>
    <row r="119" spans="1:10" ht="16">
      <c r="A119" s="44" t="s">
        <v>341</v>
      </c>
      <c r="B119" s="48">
        <f>工业富联资产负债表!C9</f>
        <v>88466866000</v>
      </c>
      <c r="C119" s="48">
        <f>工业富联资产负债表!G9</f>
        <v>97672920000</v>
      </c>
      <c r="D119" s="48">
        <f>工业富联资产负债表!K9</f>
        <v>87029697000</v>
      </c>
      <c r="E119" s="48">
        <f>工业富联资产负债表!L9</f>
        <v>86827495000</v>
      </c>
      <c r="F119" s="48">
        <f>工业富联资产负债表!M9</f>
        <v>84643735000</v>
      </c>
      <c r="G119" s="48">
        <f>工业富联资产负债表!N9</f>
        <v>86116982000</v>
      </c>
      <c r="H119" s="48">
        <f>工业富联资产负债表!O9</f>
        <v>78513196000</v>
      </c>
      <c r="I119" s="48"/>
      <c r="J119" s="48"/>
    </row>
    <row r="120" spans="1:10" ht="16">
      <c r="A120" s="44" t="s">
        <v>342</v>
      </c>
      <c r="B120" s="48">
        <f>工业富联资产负债表!C17</f>
        <v>76683349000</v>
      </c>
      <c r="C120" s="48">
        <f>工业富联资产负债表!G17</f>
        <v>77321754000</v>
      </c>
      <c r="D120" s="48">
        <f>工业富联资产负债表!K17</f>
        <v>71927837000</v>
      </c>
      <c r="E120" s="48">
        <f>工业富联资产负债表!L17</f>
        <v>45353900000</v>
      </c>
      <c r="F120" s="48">
        <f>工业富联资产负债表!M17</f>
        <v>41645951000</v>
      </c>
      <c r="G120" s="48">
        <f>工业富联资产负债表!N17</f>
        <v>37467635000</v>
      </c>
      <c r="H120" s="48">
        <f>工业富联资产负债表!O17</f>
        <v>35551035000</v>
      </c>
      <c r="I120" s="48"/>
      <c r="J120" s="48"/>
    </row>
    <row r="121" spans="1:10" ht="16">
      <c r="A121" s="72" t="s">
        <v>343</v>
      </c>
      <c r="B121" s="48">
        <f>工业富联资产负债表!C100</f>
        <v>20219622000</v>
      </c>
      <c r="C121" s="48">
        <f>工业富联资产负债表!G100</f>
        <v>16638411000</v>
      </c>
      <c r="D121" s="48">
        <f>工业富联资产负债表!K100</f>
        <v>10908229000</v>
      </c>
      <c r="E121" s="48">
        <f>工业富联资产负债表!L100</f>
        <v>7766855000</v>
      </c>
      <c r="F121" s="48">
        <f>工业富联资产负债表!M100</f>
        <v>7090266000</v>
      </c>
      <c r="G121" s="48">
        <f>工业富联资产负债表!N100</f>
        <v>8097145000.000001</v>
      </c>
      <c r="H121" s="48">
        <f>工业富联资产负债表!O100</f>
        <v>9760048000</v>
      </c>
      <c r="I121" s="48"/>
      <c r="J121" s="48"/>
    </row>
    <row r="122" spans="1:10" ht="16">
      <c r="A122" s="44" t="s">
        <v>344</v>
      </c>
      <c r="B122" s="48">
        <f>工业富联资产负债表!C92</f>
        <v>140187453000</v>
      </c>
      <c r="C122" s="48">
        <f>工业富联资产负债表!G92</f>
        <v>128975192000</v>
      </c>
      <c r="D122" s="48">
        <f>工业富联资产负债表!K92</f>
        <v>119180602000</v>
      </c>
      <c r="E122" s="48">
        <f>工业富联资产负债表!L92</f>
        <v>103752549000</v>
      </c>
      <c r="F122" s="48">
        <f>工业富联资产负债表!M92</f>
        <v>89280680000</v>
      </c>
      <c r="G122" s="48">
        <f>工业富联资产负债表!N92</f>
        <v>72294634000</v>
      </c>
      <c r="H122" s="48">
        <f>工业富联资产负债表!O92</f>
        <v>28161059000</v>
      </c>
      <c r="I122" s="48"/>
      <c r="J122" s="48"/>
    </row>
    <row r="123" spans="1:10" ht="16">
      <c r="A123" s="44" t="s">
        <v>345</v>
      </c>
      <c r="B123" s="48">
        <f>工业富联资产负债表!C48</f>
        <v>287705301000</v>
      </c>
      <c r="C123" s="48">
        <f>工业富联资产负债表!G48</f>
        <v>284187662000</v>
      </c>
      <c r="D123" s="48">
        <f>工业富联资产负债表!K48</f>
        <v>266608775000</v>
      </c>
      <c r="E123" s="48">
        <f>工业富联资产负债表!L48</f>
        <v>225513944000</v>
      </c>
      <c r="F123" s="48">
        <f>工业富联资产负债表!M48</f>
        <v>205612945000</v>
      </c>
      <c r="G123" s="48">
        <f>工业富联资产负债表!N48</f>
        <v>200603324000</v>
      </c>
      <c r="H123" s="48">
        <f>工业富联资产负债表!O48</f>
        <v>148596241000</v>
      </c>
      <c r="I123" s="48"/>
      <c r="J123" s="48"/>
    </row>
    <row r="124" spans="1:10" ht="16">
      <c r="A124" s="44"/>
      <c r="B124" s="44"/>
      <c r="C124" s="48"/>
      <c r="D124" s="48"/>
      <c r="E124" s="48"/>
      <c r="F124" s="48"/>
      <c r="G124" s="48"/>
      <c r="H124" s="48"/>
      <c r="I124" s="48"/>
      <c r="J124" s="44"/>
    </row>
    <row r="125" spans="1:10" ht="16">
      <c r="A125" s="44" t="s">
        <v>346</v>
      </c>
      <c r="B125" s="73">
        <f t="shared" ref="B125:H125" si="17">B117/B119</f>
        <v>5.3843899816683907</v>
      </c>
      <c r="C125" s="73">
        <f t="shared" si="17"/>
        <v>5.2404451407821124</v>
      </c>
      <c r="D125" s="73">
        <f t="shared" si="17"/>
        <v>5.0506575358983499</v>
      </c>
      <c r="E125" s="73">
        <f t="shared" si="17"/>
        <v>4.9729165628928946</v>
      </c>
      <c r="F125" s="73">
        <f t="shared" si="17"/>
        <v>4.8284445505624252</v>
      </c>
      <c r="G125" s="73">
        <f t="shared" si="17"/>
        <v>4.8234121465148423</v>
      </c>
      <c r="H125" s="73">
        <f t="shared" si="17"/>
        <v>4.5157230766659913</v>
      </c>
      <c r="I125" s="48"/>
      <c r="J125" s="73"/>
    </row>
    <row r="126" spans="1:10" ht="16">
      <c r="A126" s="44" t="s">
        <v>347</v>
      </c>
      <c r="B126" s="73">
        <f t="shared" ref="B126:H126" si="18">B117/B120</f>
        <v>6.2117801740766438</v>
      </c>
      <c r="C126" s="73">
        <f t="shared" si="18"/>
        <v>6.6197357473292699</v>
      </c>
      <c r="D126" s="73">
        <f t="shared" si="18"/>
        <v>6.1110859624487253</v>
      </c>
      <c r="E126" s="73">
        <f t="shared" si="18"/>
        <v>9.5203695382315523</v>
      </c>
      <c r="F126" s="73">
        <f t="shared" si="18"/>
        <v>9.8136210408546081</v>
      </c>
      <c r="G126" s="73">
        <f t="shared" si="18"/>
        <v>11.086306808529548</v>
      </c>
      <c r="H126" s="73">
        <f t="shared" si="18"/>
        <v>9.9728137591493464</v>
      </c>
      <c r="I126" s="48"/>
      <c r="J126" s="73"/>
    </row>
    <row r="127" spans="1:10" s="56" customFormat="1">
      <c r="A127" s="56" t="s">
        <v>348</v>
      </c>
      <c r="B127" s="74">
        <f t="shared" ref="B127:H127" si="19">(B105+B118)/B123</f>
        <v>7.1094911803519401E-2</v>
      </c>
      <c r="C127" s="74">
        <f t="shared" si="19"/>
        <v>6.8157533172569604E-2</v>
      </c>
      <c r="D127" s="74">
        <f t="shared" si="19"/>
        <v>7.1953228096111987E-2</v>
      </c>
      <c r="E127" s="74">
        <f t="shared" si="19"/>
        <v>7.6245786380286978E-2</v>
      </c>
      <c r="F127" s="74">
        <f t="shared" si="19"/>
        <v>8.6915091848910581E-2</v>
      </c>
      <c r="G127" s="74">
        <f t="shared" si="19"/>
        <v>8.2641746255411E-2</v>
      </c>
      <c r="H127" s="74">
        <f t="shared" si="19"/>
        <v>0.11253820343948001</v>
      </c>
      <c r="I127" s="66"/>
      <c r="J127" s="74"/>
    </row>
    <row r="128" spans="1:10" s="56" customFormat="1">
      <c r="A128" s="56" t="s">
        <v>349</v>
      </c>
      <c r="B128" s="74">
        <f t="shared" ref="B128:H128" si="20">B105/B122</f>
        <v>0.15008613502664891</v>
      </c>
      <c r="C128" s="74">
        <f t="shared" si="20"/>
        <v>0.15563513950806912</v>
      </c>
      <c r="D128" s="74">
        <f t="shared" si="20"/>
        <v>0.16789436086251688</v>
      </c>
      <c r="E128" s="74">
        <f t="shared" si="20"/>
        <v>0.1680034193665931</v>
      </c>
      <c r="F128" s="74">
        <f t="shared" si="20"/>
        <v>0.20840101128262015</v>
      </c>
      <c r="G128" s="74">
        <f t="shared" si="20"/>
        <v>0.23379753191640751</v>
      </c>
      <c r="H128" s="74">
        <f t="shared" si="20"/>
        <v>0.56345917246933075</v>
      </c>
      <c r="I128" s="66"/>
      <c r="J128" s="74"/>
    </row>
    <row r="129" spans="1:10" ht="16">
      <c r="A129" s="40" t="s">
        <v>350</v>
      </c>
      <c r="B129" s="71">
        <f>工业富联资产负债表!C97</f>
        <v>0.5103480801001995</v>
      </c>
      <c r="C129" s="71">
        <f>工业富联资产负债表!G97</f>
        <v>0.54364597292052741</v>
      </c>
      <c r="D129" s="71">
        <f>工业富联资产负债表!K97</f>
        <v>0.55068473271369256</v>
      </c>
      <c r="E129" s="71">
        <f>工业富联资产负债表!L97</f>
        <v>0.53743878028225167</v>
      </c>
      <c r="F129" s="71">
        <f>工业富联资产负债表!M97</f>
        <v>0.56536056132068924</v>
      </c>
      <c r="G129" s="71">
        <f>工业富联资产负债表!N97</f>
        <v>0.63932988966822901</v>
      </c>
      <c r="H129" s="71">
        <f>工业富联资产负债表!O97</f>
        <v>0.81029174890096989</v>
      </c>
      <c r="I129" s="48"/>
      <c r="J129" s="75"/>
    </row>
    <row r="130" spans="1:10" ht="16">
      <c r="A130" s="44" t="s">
        <v>351</v>
      </c>
      <c r="B130" s="71">
        <f>工业富联利润表!C34</f>
        <v>8.0563877439780648E-2</v>
      </c>
      <c r="C130" s="71">
        <f>工业富联利润表!G34</f>
        <v>7.2622499900502999E-2</v>
      </c>
      <c r="D130" s="71">
        <f>工业富联利润表!K34</f>
        <v>8.3072756891170899E-2</v>
      </c>
      <c r="E130" s="71">
        <f>工业富联利润表!L34</f>
        <v>8.3529042987157562E-2</v>
      </c>
      <c r="F130" s="71">
        <f>工业富联利润表!M34</f>
        <v>8.3794508683426736E-2</v>
      </c>
      <c r="G130" s="71">
        <f>工业富联利润表!N34</f>
        <v>8.6407426925475969E-2</v>
      </c>
      <c r="H130" s="71">
        <f>工业富联利润表!O34</f>
        <v>0.10143139952524519</v>
      </c>
      <c r="I130" s="48"/>
      <c r="J130" s="71"/>
    </row>
    <row r="131" spans="1:10" ht="16">
      <c r="A131" s="44" t="s">
        <v>352</v>
      </c>
      <c r="B131" s="71">
        <f>工业富联利润表!C35</f>
        <v>4.412459226323346E-2</v>
      </c>
      <c r="C131" s="71">
        <f>工业富联利润表!G35</f>
        <v>3.9237873437813257E-2</v>
      </c>
      <c r="D131" s="71">
        <f>工业富联利润表!K35</f>
        <v>4.5556610670427086E-2</v>
      </c>
      <c r="E131" s="71">
        <f>工业富联利润表!L35</f>
        <v>4.0359568212660069E-2</v>
      </c>
      <c r="F131" s="71">
        <f>工业富联利润表!M35</f>
        <v>4.5525221740913606E-2</v>
      </c>
      <c r="G131" s="71">
        <f>工业富联利润表!N35</f>
        <v>4.0704055904089619E-2</v>
      </c>
      <c r="H131" s="71">
        <f>工业富联利润表!O35</f>
        <v>4.5748716144001042E-2</v>
      </c>
      <c r="I131" s="48"/>
      <c r="J131" s="71"/>
    </row>
    <row r="132" spans="1:10" ht="16">
      <c r="A132" s="44" t="s">
        <v>211</v>
      </c>
      <c r="B132" s="71">
        <f>工业富联利润表!C36</f>
        <v>9.1063738843987635E-2</v>
      </c>
      <c r="C132" s="71">
        <f>工业富联利润表!G36</f>
        <v>8.5558112684231413E-2</v>
      </c>
      <c r="D132" s="71">
        <f>工业富联利润表!K36</f>
        <v>0.10274379858969629</v>
      </c>
      <c r="E132" s="71">
        <f>工业富联利润表!L36</f>
        <v>0.11745209939406119</v>
      </c>
      <c r="F132" s="71">
        <f>工业富联利润表!M36</f>
        <v>0.11955024967306183</v>
      </c>
      <c r="G132" s="71">
        <f>工业富联利润表!N36</f>
        <v>0.15763306425677381</v>
      </c>
      <c r="H132" s="71">
        <f>工业富联利润表!O36</f>
        <v>0.19067366396178126</v>
      </c>
      <c r="I132" s="48"/>
      <c r="J132" s="71"/>
    </row>
    <row r="133" spans="1:10" ht="16">
      <c r="A133" s="44"/>
      <c r="B133" s="44"/>
      <c r="C133" s="48"/>
      <c r="D133" s="48"/>
      <c r="E133" s="48"/>
      <c r="F133" s="48"/>
      <c r="G133" s="48"/>
      <c r="H133" s="48"/>
      <c r="I133" s="48"/>
      <c r="J133" s="44"/>
    </row>
    <row r="134" spans="1:10" ht="16">
      <c r="A134" s="40" t="s">
        <v>137</v>
      </c>
      <c r="B134" s="48">
        <f>工业富联现金流量表!C21</f>
        <v>9189698000</v>
      </c>
      <c r="C134" s="48">
        <f>工业富联现金流量表!G21</f>
        <v>8093290000</v>
      </c>
      <c r="D134" s="48">
        <f>工业富联现金流量表!K21</f>
        <v>6035315000</v>
      </c>
      <c r="E134" s="48">
        <f>工业富联现金流量表!L21</f>
        <v>3606281000</v>
      </c>
      <c r="F134" s="48">
        <f>工业富联现金流量表!M21</f>
        <v>3058426000</v>
      </c>
      <c r="G134" s="48">
        <f>工业富联现金流量表!N21</f>
        <v>3680488000</v>
      </c>
      <c r="H134" s="48">
        <f>工业富联现金流量表!O21</f>
        <v>935661000</v>
      </c>
      <c r="I134" s="48"/>
      <c r="J134" s="48"/>
    </row>
    <row r="135" spans="1:10" ht="16">
      <c r="A135" s="40" t="s">
        <v>110</v>
      </c>
      <c r="B135" s="48">
        <f>工业富联现金流量表!C49</f>
        <v>4449463000</v>
      </c>
      <c r="C135" s="48">
        <f>工业富联现金流量表!G49</f>
        <v>3220238000</v>
      </c>
      <c r="D135" s="48">
        <f>工业富联现金流量表!K49</f>
        <v>2515669000</v>
      </c>
      <c r="E135" s="48">
        <f>工业富联现金流量表!L49</f>
        <v>2432955000</v>
      </c>
      <c r="F135" s="48">
        <f>工业富联现金流量表!M49</f>
        <v>2746040000</v>
      </c>
      <c r="G135" s="48">
        <f>工业富联现金流量表!N49</f>
        <v>3867919000</v>
      </c>
      <c r="H135" s="48">
        <f>工业富联现金流量表!O49</f>
        <v>3686021000</v>
      </c>
      <c r="I135" s="48"/>
      <c r="J135" s="48"/>
    </row>
    <row r="136" spans="1:10" ht="16">
      <c r="A136" s="40" t="s">
        <v>109</v>
      </c>
      <c r="B136" s="48">
        <f>工业富联现金流量表!C50</f>
        <v>0</v>
      </c>
      <c r="C136" s="48">
        <f>工业富联现金流量表!G50</f>
        <v>0</v>
      </c>
      <c r="D136" s="48">
        <f>工业富联现金流量表!K50</f>
        <v>0</v>
      </c>
      <c r="E136" s="48">
        <f>工业富联现金流量表!L50</f>
        <v>0</v>
      </c>
      <c r="F136" s="48">
        <f>工业富联现金流量表!M50</f>
        <v>0</v>
      </c>
      <c r="G136" s="48">
        <f>工业富联现金流量表!N50</f>
        <v>0</v>
      </c>
      <c r="H136" s="48">
        <f>工业富联现金流量表!O50</f>
        <v>0</v>
      </c>
      <c r="I136" s="48"/>
      <c r="J136" s="48"/>
    </row>
    <row r="137" spans="1:10" ht="16">
      <c r="A137" s="40" t="s">
        <v>108</v>
      </c>
      <c r="B137" s="48">
        <f>工业富联现金流量表!C51</f>
        <v>0</v>
      </c>
      <c r="C137" s="48">
        <f>工业富联现金流量表!G51</f>
        <v>0</v>
      </c>
      <c r="D137" s="48">
        <f>工业富联现金流量表!K51</f>
        <v>0</v>
      </c>
      <c r="E137" s="48">
        <f>工业富联现金流量表!L51</f>
        <v>0</v>
      </c>
      <c r="F137" s="48">
        <f>工业富联现金流量表!M51</f>
        <v>0</v>
      </c>
      <c r="G137" s="48">
        <f>工业富联现金流量表!N51</f>
        <v>0</v>
      </c>
      <c r="H137" s="48">
        <f>工业富联现金流量表!O51</f>
        <v>0</v>
      </c>
      <c r="I137" s="48"/>
      <c r="J137" s="48"/>
    </row>
    <row r="138" spans="1:10" ht="16">
      <c r="A138" s="40" t="s">
        <v>353</v>
      </c>
      <c r="B138" s="76">
        <f t="shared" ref="B138:H138" si="21">B134-SUM(B135:B137)</f>
        <v>4740235000</v>
      </c>
      <c r="C138" s="76">
        <f t="shared" si="21"/>
        <v>4873052000</v>
      </c>
      <c r="D138" s="76">
        <f t="shared" si="21"/>
        <v>3519646000</v>
      </c>
      <c r="E138" s="76">
        <f t="shared" si="21"/>
        <v>1173326000</v>
      </c>
      <c r="F138" s="76">
        <f t="shared" si="21"/>
        <v>312386000</v>
      </c>
      <c r="G138" s="76">
        <f t="shared" si="21"/>
        <v>-187431000</v>
      </c>
      <c r="H138" s="76">
        <f t="shared" si="21"/>
        <v>-2750360000</v>
      </c>
      <c r="I138" s="48"/>
      <c r="J138" s="76"/>
    </row>
    <row r="139" spans="1:10" s="40" customFormat="1" ht="16">
      <c r="C139" s="48"/>
      <c r="D139" s="48"/>
      <c r="E139" s="48"/>
      <c r="F139" s="48"/>
      <c r="G139" s="48"/>
      <c r="H139" s="48"/>
      <c r="I139" s="48"/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B9FF-BC0A-C343-8C8D-75D89643A55A}">
  <sheetPr>
    <tabColor rgb="FFFFC000"/>
  </sheetPr>
  <dimension ref="A1:O63"/>
  <sheetViews>
    <sheetView workbookViewId="0">
      <pane xSplit="2" ySplit="1" topLeftCell="C23" activePane="bottomRight" state="frozen"/>
      <selection activeCell="B105" sqref="B105"/>
      <selection pane="topRight" activeCell="B105" sqref="B105"/>
      <selection pane="bottomLeft" activeCell="B105" sqref="B105"/>
      <selection pane="bottomRight" activeCell="C47" sqref="C47"/>
    </sheetView>
  </sheetViews>
  <sheetFormatPr baseColWidth="10" defaultRowHeight="16"/>
  <cols>
    <col min="1" max="1" width="26" customWidth="1"/>
    <col min="2" max="2" width="14" customWidth="1"/>
    <col min="3" max="3" width="21.33203125" bestFit="1" customWidth="1"/>
    <col min="4" max="9" width="19" bestFit="1" customWidth="1"/>
    <col min="14" max="14" width="34.33203125" bestFit="1" customWidth="1"/>
    <col min="15" max="15" width="36.83203125" style="185" bestFit="1" customWidth="1"/>
  </cols>
  <sheetData>
    <row r="1" spans="1:11">
      <c r="A1" s="6" t="str">
        <f>工业富联资产负债变动表!I1</f>
        <v>2017-2023</v>
      </c>
      <c r="B1" t="s">
        <v>513</v>
      </c>
      <c r="C1" s="6">
        <f>工业富联资产负债变动表!B1</f>
        <v>20231231</v>
      </c>
      <c r="D1" s="6">
        <f>工业富联资产负债变动表!C1</f>
        <v>20221231</v>
      </c>
      <c r="E1" s="6">
        <f>工业富联资产负债变动表!D1</f>
        <v>20211231</v>
      </c>
      <c r="F1" s="6">
        <f>工业富联资产负债变动表!E1</f>
        <v>20201231</v>
      </c>
      <c r="G1" s="6">
        <f>工业富联资产负债变动表!F1</f>
        <v>20191231</v>
      </c>
      <c r="H1" s="6">
        <f>工业富联资产负债变动表!G1</f>
        <v>20181231</v>
      </c>
      <c r="I1" s="6">
        <f>工业富联资产负债变动表!H1</f>
        <v>20171231</v>
      </c>
    </row>
    <row r="2" spans="1:11">
      <c r="A2" t="s">
        <v>514</v>
      </c>
      <c r="B2" s="185" t="s">
        <v>515</v>
      </c>
      <c r="C2" s="1">
        <f>工业富联利润表!C3/100000000</f>
        <v>4763.4010699999999</v>
      </c>
      <c r="D2" s="1">
        <f>工业富联利润表!G3/100000000</f>
        <v>5118.4957899999999</v>
      </c>
      <c r="E2" s="1">
        <f>工业富联利润表!K3/100000000</f>
        <v>4395.5719499999996</v>
      </c>
      <c r="F2" s="1">
        <f>工业富联利润表!L3/100000000</f>
        <v>4317.8588799999998</v>
      </c>
      <c r="G2" s="1">
        <f>工业富联利润表!M3/100000000</f>
        <v>4086.9758099999999</v>
      </c>
      <c r="H2" s="1">
        <f>工业富联利润表!N3/100000000</f>
        <v>4153.7769699999999</v>
      </c>
      <c r="I2" s="1">
        <f>工业富联利润表!O3/100000000</f>
        <v>3545.43851</v>
      </c>
    </row>
    <row r="3" spans="1:11">
      <c r="A3" t="s">
        <v>516</v>
      </c>
      <c r="B3" s="185" t="s">
        <v>515</v>
      </c>
      <c r="C3" s="1">
        <f>工业富联利润表!C4/100000000</f>
        <v>4763.4010699999999</v>
      </c>
      <c r="D3" s="1">
        <f>工业富联利润表!G4/100000000</f>
        <v>5118.4957899999999</v>
      </c>
      <c r="E3" s="1">
        <f>工业富联利润表!K4/100000000</f>
        <v>4395.5719499999996</v>
      </c>
      <c r="F3" s="1">
        <f>工业富联利润表!L4/100000000</f>
        <v>4317.8588799999998</v>
      </c>
      <c r="G3" s="1">
        <f>工业富联利润表!M4/100000000</f>
        <v>4086.9758099999999</v>
      </c>
      <c r="H3" s="1">
        <f>工业富联利润表!N4/100000000</f>
        <v>4153.7769699999999</v>
      </c>
      <c r="I3" s="1">
        <f>工业富联利润表!O4/100000000</f>
        <v>3545.43851</v>
      </c>
    </row>
    <row r="4" spans="1:11">
      <c r="A4" t="s">
        <v>516</v>
      </c>
      <c r="B4" s="185" t="s">
        <v>517</v>
      </c>
      <c r="C4" s="1">
        <f>工业富联资产负债变动表!B117/100000000</f>
        <v>4763.4010699999999</v>
      </c>
      <c r="D4" s="1">
        <f>工业富联资产负债变动表!C117/100000000</f>
        <v>5118.4957899999999</v>
      </c>
      <c r="E4" s="1">
        <f>工业富联资产负债变动表!D117/100000000</f>
        <v>4395.5719499999996</v>
      </c>
      <c r="F4" s="1">
        <f>工业富联资产负债变动表!E117/100000000</f>
        <v>4317.8588799999998</v>
      </c>
      <c r="G4" s="1">
        <f>工业富联资产负债变动表!F117/100000000</f>
        <v>4086.9758099999999</v>
      </c>
      <c r="H4" s="1">
        <f>工业富联资产负债变动表!G117/100000000</f>
        <v>4153.7769699999999</v>
      </c>
      <c r="I4" s="1">
        <f>工业富联资产负债变动表!H117/100000000</f>
        <v>3545.43851</v>
      </c>
    </row>
    <row r="5" spans="1:11">
      <c r="B5" s="185"/>
    </row>
    <row r="6" spans="1:11">
      <c r="A6" t="s">
        <v>518</v>
      </c>
      <c r="B6" s="185" t="s">
        <v>519</v>
      </c>
      <c r="C6" s="1">
        <f>工业富联资产负债变动表!B135/100000000</f>
        <v>44.494630000000001</v>
      </c>
      <c r="D6" s="1">
        <f>工业富联资产负债变动表!C135/100000000</f>
        <v>32.202379999999998</v>
      </c>
      <c r="E6" s="1">
        <f>工业富联资产负债变动表!D135/100000000</f>
        <v>25.156690000000001</v>
      </c>
      <c r="F6" s="1">
        <f>工业富联资产负债变动表!E135/100000000</f>
        <v>24.329550000000001</v>
      </c>
      <c r="G6" s="1">
        <f>工业富联资产负债变动表!F135/100000000</f>
        <v>27.4604</v>
      </c>
      <c r="H6" s="1">
        <f>工业富联资产负债变动表!G135/100000000</f>
        <v>38.679189999999998</v>
      </c>
      <c r="I6" s="1">
        <f>工业富联资产负债变动表!H135/100000000</f>
        <v>36.860210000000002</v>
      </c>
    </row>
    <row r="7" spans="1:11">
      <c r="A7" t="s">
        <v>520</v>
      </c>
      <c r="B7" s="185"/>
      <c r="C7" s="20">
        <f>C6/C3</f>
        <v>9.3409371468273199E-3</v>
      </c>
      <c r="D7" s="20">
        <f t="shared" ref="D7:I7" si="0">D6/D3</f>
        <v>6.2913756934046437E-3</v>
      </c>
      <c r="E7" s="20">
        <f t="shared" si="0"/>
        <v>5.7231892200058296E-3</v>
      </c>
      <c r="F7" s="20">
        <f t="shared" si="0"/>
        <v>5.6346329688292179E-3</v>
      </c>
      <c r="G7" s="20">
        <f t="shared" si="0"/>
        <v>6.7190023324361203E-3</v>
      </c>
      <c r="H7" s="20">
        <f t="shared" si="0"/>
        <v>9.31181194352859E-3</v>
      </c>
      <c r="I7" s="20">
        <f t="shared" si="0"/>
        <v>1.0396516508757616E-2</v>
      </c>
    </row>
    <row r="8" spans="1:11">
      <c r="B8" s="185"/>
    </row>
    <row r="9" spans="1:11">
      <c r="A9" t="s">
        <v>521</v>
      </c>
      <c r="B9" s="185" t="s">
        <v>522</v>
      </c>
      <c r="C9" s="1">
        <f>(工业富联利润表!C4-工业富联利润表!C6)/100000000</f>
        <v>383.75806</v>
      </c>
      <c r="D9" s="1">
        <f>(工业富联利润表!G4-工业富联利润表!G6)/100000000</f>
        <v>371.71796000000001</v>
      </c>
      <c r="E9" s="1">
        <f>(工业富联利润表!K4-工业富联利润表!K6)/100000000</f>
        <v>365.15228000000002</v>
      </c>
      <c r="F9" s="1">
        <f>(工业富联利润表!L4-工业富联利润表!L6)/100000000</f>
        <v>360.66662000000002</v>
      </c>
      <c r="G9" s="1">
        <f>(工业富联利润表!M4-工业富联利润表!M6)/100000000</f>
        <v>342.46613000000002</v>
      </c>
      <c r="H9" s="1">
        <f>(工业富联利润表!N4-工业富联利润表!N6)/100000000</f>
        <v>358.91717999999997</v>
      </c>
      <c r="I9" s="1">
        <f>(工业富联利润表!O4-工业富联利润表!O6)/100000000</f>
        <v>359.61878999999999</v>
      </c>
      <c r="J9" s="1"/>
      <c r="K9" s="1"/>
    </row>
    <row r="10" spans="1:11">
      <c r="A10" t="s">
        <v>523</v>
      </c>
      <c r="B10" s="185" t="s">
        <v>524</v>
      </c>
      <c r="C10" s="20">
        <f>C9/C4</f>
        <v>8.0563877439780648E-2</v>
      </c>
      <c r="D10" s="20">
        <f t="shared" ref="D10:I10" si="1">D9/D4</f>
        <v>7.2622499900502999E-2</v>
      </c>
      <c r="E10" s="20">
        <f t="shared" si="1"/>
        <v>8.3072756891170912E-2</v>
      </c>
      <c r="F10" s="20">
        <f t="shared" si="1"/>
        <v>8.3529042987157576E-2</v>
      </c>
      <c r="G10" s="20">
        <f t="shared" si="1"/>
        <v>8.3794508683426736E-2</v>
      </c>
      <c r="H10" s="20">
        <f t="shared" si="1"/>
        <v>8.6407426925475969E-2</v>
      </c>
      <c r="I10" s="20">
        <f t="shared" si="1"/>
        <v>0.10143139952524519</v>
      </c>
      <c r="J10" s="1"/>
      <c r="K10" s="1"/>
    </row>
    <row r="11" spans="1:11">
      <c r="A11" t="s">
        <v>525</v>
      </c>
      <c r="B11" s="185"/>
      <c r="C11" s="186">
        <f>工业富联资产负债变动表!B130</f>
        <v>8.0563877439780648E-2</v>
      </c>
      <c r="D11" s="186">
        <f>工业富联资产负债变动表!C130</f>
        <v>7.2622499900502999E-2</v>
      </c>
      <c r="E11" s="186">
        <f>工业富联资产负债变动表!D130</f>
        <v>8.3072756891170899E-2</v>
      </c>
      <c r="F11" s="186">
        <f>工业富联资产负债变动表!E130</f>
        <v>8.3529042987157562E-2</v>
      </c>
      <c r="G11" s="186">
        <f>工业富联资产负债变动表!F130</f>
        <v>8.3794508683426736E-2</v>
      </c>
      <c r="H11" s="186">
        <f>工业富联资产负债变动表!G130</f>
        <v>8.6407426925475969E-2</v>
      </c>
      <c r="I11" s="186">
        <f>工业富联资产负债变动表!H130</f>
        <v>0.10143139952524519</v>
      </c>
      <c r="J11" s="1"/>
      <c r="K11" s="1"/>
    </row>
    <row r="12" spans="1:11">
      <c r="B12" s="185"/>
      <c r="C12" s="186"/>
      <c r="D12" s="187"/>
      <c r="E12" s="187"/>
      <c r="F12" s="187"/>
      <c r="G12" s="187"/>
      <c r="H12" s="187"/>
      <c r="I12" s="187"/>
      <c r="J12" s="1"/>
      <c r="K12" s="1"/>
    </row>
    <row r="13" spans="1:11">
      <c r="A13" t="s">
        <v>526</v>
      </c>
      <c r="B13" s="185"/>
      <c r="C13" s="1">
        <f>工业富联利润表!C18/100000000</f>
        <v>1.2356100000000001</v>
      </c>
      <c r="D13" s="1">
        <f>工业富联利润表!G18/100000000</f>
        <v>1.2123200000000001</v>
      </c>
      <c r="E13" s="1">
        <f>工业富联利润表!K18/100000000</f>
        <v>0.83797999999999995</v>
      </c>
      <c r="F13" s="1">
        <f>工业富联利润表!L18/100000000</f>
        <v>0.91954999999999998</v>
      </c>
      <c r="G13" s="1">
        <f>工业富联利润表!M18/100000000</f>
        <v>0.85167999999999999</v>
      </c>
      <c r="H13" s="1">
        <f>工业富联利润表!N18/100000000</f>
        <v>0.38100000000000001</v>
      </c>
      <c r="I13" s="1">
        <f>工业富联利润表!O18/100000000</f>
        <v>0.88310999999999995</v>
      </c>
      <c r="J13" s="1"/>
      <c r="K13" s="1"/>
    </row>
    <row r="14" spans="1:11">
      <c r="A14" t="s">
        <v>527</v>
      </c>
      <c r="B14" s="185"/>
      <c r="C14" s="1">
        <f>工业富联利润表!C19/100000000</f>
        <v>0.66391</v>
      </c>
      <c r="D14" s="1">
        <f>工业富联利润表!G19/100000000</f>
        <v>0.30581000000000003</v>
      </c>
      <c r="E14" s="1">
        <f>工业富联利润表!K19/100000000</f>
        <v>1.63652</v>
      </c>
      <c r="F14" s="1">
        <f>工业富联利润表!L19/100000000</f>
        <v>0.61724000000000001</v>
      </c>
      <c r="G14" s="1">
        <f>工业富联利润表!M19/100000000</f>
        <v>0.59301000000000004</v>
      </c>
      <c r="H14" s="1">
        <f>工业富联利润表!N19/100000000</f>
        <v>0.49242000000000002</v>
      </c>
      <c r="I14" s="1">
        <f>工业富联利润表!O19/100000000</f>
        <v>4.1750000000000002E-2</v>
      </c>
      <c r="J14" s="1"/>
      <c r="K14" s="1"/>
    </row>
    <row r="15" spans="1:11">
      <c r="B15" s="185"/>
      <c r="D15" s="1"/>
      <c r="E15" s="1"/>
      <c r="F15" s="1"/>
      <c r="G15" s="1"/>
      <c r="H15" s="1"/>
      <c r="I15" s="1"/>
      <c r="J15" s="1"/>
      <c r="K15" s="1"/>
    </row>
    <row r="16" spans="1:11">
      <c r="A16" t="s">
        <v>528</v>
      </c>
      <c r="B16" s="185"/>
      <c r="C16" s="1">
        <f>工业富联利润表!C21/100000000</f>
        <v>231.24078</v>
      </c>
      <c r="D16" s="1">
        <f>工业富联利润表!G21/100000000</f>
        <v>219.63002</v>
      </c>
      <c r="E16" s="1">
        <f>工业富联利润表!K21/100000000</f>
        <v>223.17746</v>
      </c>
      <c r="F16" s="1">
        <f>工业富联利润表!L21/100000000</f>
        <v>197.45887999999999</v>
      </c>
      <c r="G16" s="1">
        <f>工业富联利润表!M21/100000000</f>
        <v>211.32436000000001</v>
      </c>
      <c r="H16" s="1">
        <f>工业富联利润表!N21/100000000</f>
        <v>200.71486999999999</v>
      </c>
      <c r="I16" s="1">
        <f>工业富联利润表!O21/100000000</f>
        <v>200.41267999999999</v>
      </c>
      <c r="J16" s="1"/>
      <c r="K16" s="1"/>
    </row>
    <row r="17" spans="1:11">
      <c r="A17" t="s">
        <v>529</v>
      </c>
      <c r="B17" s="185" t="s">
        <v>530</v>
      </c>
      <c r="C17" s="20">
        <f>C16/C4</f>
        <v>4.8545309664634224E-2</v>
      </c>
      <c r="D17" s="20">
        <f t="shared" ref="D17:I17" si="2">D16/D4</f>
        <v>4.2909094587728479E-2</v>
      </c>
      <c r="E17" s="20">
        <f t="shared" si="2"/>
        <v>5.0773246926375533E-2</v>
      </c>
      <c r="F17" s="20">
        <f t="shared" si="2"/>
        <v>4.573073958359658E-2</v>
      </c>
      <c r="G17" s="20">
        <f t="shared" si="2"/>
        <v>5.1706780226820091E-2</v>
      </c>
      <c r="H17" s="20">
        <f t="shared" si="2"/>
        <v>4.8321051286487345E-2</v>
      </c>
      <c r="I17" s="20">
        <f t="shared" si="2"/>
        <v>5.6526908994396857E-2</v>
      </c>
      <c r="J17" s="1"/>
      <c r="K17" s="1"/>
    </row>
    <row r="18" spans="1:11">
      <c r="A18" t="s">
        <v>531</v>
      </c>
      <c r="B18" s="185"/>
      <c r="C18" s="1">
        <f>工业富联利润表!C22/100000000</f>
        <v>21.057649999999999</v>
      </c>
      <c r="D18" s="1">
        <f>工业富联利润表!G22/100000000</f>
        <v>18.791129999999999</v>
      </c>
      <c r="E18" s="1">
        <f>工业富联利润表!K22/100000000</f>
        <v>22.930099999999999</v>
      </c>
      <c r="F18" s="1">
        <f>工业富联利润表!L22/100000000</f>
        <v>23.191960000000002</v>
      </c>
      <c r="G18" s="1">
        <f>工业富联利润表!M22/100000000</f>
        <v>25.26388</v>
      </c>
      <c r="H18" s="1">
        <f>工业富联利润表!N22/100000000</f>
        <v>31.639299999999999</v>
      </c>
      <c r="I18" s="1">
        <f>工业富联利润表!O22/100000000</f>
        <v>38.213419999999999</v>
      </c>
      <c r="J18" s="1"/>
      <c r="K18" s="1"/>
    </row>
    <row r="19" spans="1:11">
      <c r="A19" t="s">
        <v>532</v>
      </c>
      <c r="B19" s="185" t="s">
        <v>533</v>
      </c>
      <c r="C19" s="20">
        <f>C18/C16</f>
        <v>9.1063738843987635E-2</v>
      </c>
      <c r="D19" s="20">
        <f t="shared" ref="D19:I19" si="3">D18/D16</f>
        <v>8.5558112684231413E-2</v>
      </c>
      <c r="E19" s="20">
        <f t="shared" si="3"/>
        <v>0.10274379858969629</v>
      </c>
      <c r="F19" s="20">
        <f t="shared" si="3"/>
        <v>0.11745209939406119</v>
      </c>
      <c r="G19" s="20">
        <f t="shared" si="3"/>
        <v>0.11955024967306183</v>
      </c>
      <c r="H19" s="20">
        <f t="shared" si="3"/>
        <v>0.15763306425677381</v>
      </c>
      <c r="I19" s="20">
        <f t="shared" si="3"/>
        <v>0.19067366396178126</v>
      </c>
      <c r="J19" s="1"/>
      <c r="K19" s="1"/>
    </row>
    <row r="20" spans="1:11">
      <c r="A20" t="s">
        <v>534</v>
      </c>
      <c r="B20" s="185"/>
      <c r="C20" s="188">
        <f>C16-C18</f>
        <v>210.18313000000001</v>
      </c>
      <c r="D20" s="188">
        <f t="shared" ref="D20:I20" si="4">D16-D18</f>
        <v>200.83888999999999</v>
      </c>
      <c r="E20" s="188">
        <f t="shared" si="4"/>
        <v>200.24735999999999</v>
      </c>
      <c r="F20" s="188">
        <f t="shared" si="4"/>
        <v>174.26692</v>
      </c>
      <c r="G20" s="188">
        <f t="shared" si="4"/>
        <v>186.06048000000001</v>
      </c>
      <c r="H20" s="188">
        <f t="shared" si="4"/>
        <v>169.07557</v>
      </c>
      <c r="I20" s="188">
        <f t="shared" si="4"/>
        <v>162.19925999999998</v>
      </c>
      <c r="J20" s="1"/>
      <c r="K20" s="1"/>
    </row>
    <row r="21" spans="1:11">
      <c r="A21" t="s">
        <v>535</v>
      </c>
      <c r="B21" s="185"/>
      <c r="C21" s="1">
        <f>工业富联利润表!C23/100000000</f>
        <v>210.18313000000001</v>
      </c>
      <c r="D21" s="1">
        <f>工业富联利润表!G23/100000000</f>
        <v>200.83888999999999</v>
      </c>
      <c r="E21" s="1">
        <f>工业富联利润表!K23/100000000</f>
        <v>200.24735999999999</v>
      </c>
      <c r="F21" s="1">
        <f>工业富联利润表!L23/100000000</f>
        <v>174.26692</v>
      </c>
      <c r="G21" s="1">
        <f>工业富联利润表!M23/100000000</f>
        <v>186.06048000000001</v>
      </c>
      <c r="H21" s="1">
        <f>工业富联利润表!N23/100000000</f>
        <v>169.07557</v>
      </c>
      <c r="I21" s="1">
        <f>工业富联利润表!O23/100000000</f>
        <v>162.19926000000001</v>
      </c>
      <c r="J21" s="1"/>
      <c r="K21" s="1"/>
    </row>
    <row r="22" spans="1:11">
      <c r="A22" s="195" t="s">
        <v>574</v>
      </c>
      <c r="B22" s="185" t="s">
        <v>575</v>
      </c>
      <c r="C22" s="20">
        <f t="shared" ref="C22:I22" si="5">C27/C3</f>
        <v>4.2427668178694852E-2</v>
      </c>
      <c r="D22" s="20">
        <f t="shared" si="5"/>
        <v>3.5967598207206887E-2</v>
      </c>
      <c r="E22" s="20">
        <f t="shared" si="5"/>
        <v>4.2269812009333628E-2</v>
      </c>
      <c r="F22" s="20">
        <f t="shared" si="5"/>
        <v>3.7958628235668514E-2</v>
      </c>
      <c r="G22" s="20">
        <f t="shared" si="5"/>
        <v>4.1546612432726879E-2</v>
      </c>
      <c r="H22" s="20">
        <f t="shared" si="5"/>
        <v>4.0252522272518639E-2</v>
      </c>
      <c r="I22" s="20">
        <f t="shared" si="5"/>
        <v>4.4987382957037941E-2</v>
      </c>
    </row>
    <row r="23" spans="1:11">
      <c r="B23" s="185"/>
      <c r="C23" s="20"/>
      <c r="D23" s="20"/>
      <c r="E23" s="20"/>
      <c r="F23" s="20"/>
      <c r="G23" s="20"/>
      <c r="H23" s="20"/>
      <c r="I23" s="20"/>
    </row>
    <row r="24" spans="1:11">
      <c r="A24" t="s">
        <v>536</v>
      </c>
      <c r="B24" s="185"/>
      <c r="C24" s="1">
        <f>工业富联利润表!C25/100000000</f>
        <v>-0.21879999999999999</v>
      </c>
      <c r="D24" s="1">
        <f>工业富联利润表!G25/100000000</f>
        <v>0.10817</v>
      </c>
      <c r="E24" s="1">
        <f>工业富联利润表!K25/100000000</f>
        <v>0.14985000000000001</v>
      </c>
      <c r="F24" s="1">
        <f>工业富联利润表!L25/100000000</f>
        <v>-4.0910000000000002E-2</v>
      </c>
      <c r="G24" s="1">
        <f>工业富联利润表!M25/100000000</f>
        <v>-1.3600000000000001E-3</v>
      </c>
      <c r="H24" s="1">
        <f>工业富联利润表!N25/100000000</f>
        <v>5.2499999999999998E-2</v>
      </c>
      <c r="I24" s="1">
        <f>工业富联利润表!O25/100000000</f>
        <v>3.52319</v>
      </c>
      <c r="J24" s="1"/>
      <c r="K24" s="1"/>
    </row>
    <row r="25" spans="1:11">
      <c r="A25" t="s">
        <v>537</v>
      </c>
      <c r="B25" s="185" t="s">
        <v>570</v>
      </c>
      <c r="C25" s="1">
        <f>工业富联利润表!C24/100000000</f>
        <v>210.40192999999999</v>
      </c>
      <c r="D25" s="1">
        <f>工业富联利润表!G24/100000000</f>
        <v>200.73071999999999</v>
      </c>
      <c r="E25" s="1">
        <f>工业富联利润表!K24/100000000</f>
        <v>200.09751</v>
      </c>
      <c r="F25" s="1">
        <f>工业富联利润表!L24/100000000</f>
        <v>174.30783</v>
      </c>
      <c r="G25" s="1">
        <f>工业富联利润表!M24/100000000</f>
        <v>186.06183999999999</v>
      </c>
      <c r="H25" s="1">
        <f>工业富联利润表!N24/100000000</f>
        <v>169.02306999999999</v>
      </c>
      <c r="I25" s="1">
        <f>工业富联利润表!O24/100000000</f>
        <v>158.67607000000001</v>
      </c>
      <c r="J25" s="1"/>
      <c r="K25" s="1"/>
    </row>
    <row r="26" spans="1:11">
      <c r="A26" t="s">
        <v>567</v>
      </c>
      <c r="B26" s="185" t="s">
        <v>568</v>
      </c>
      <c r="C26" s="1">
        <f>工业富联东财年度指标!B4</f>
        <v>210.4</v>
      </c>
      <c r="D26" s="1">
        <f>工业富联东财年度指标!C4</f>
        <v>200.7</v>
      </c>
      <c r="E26" s="1">
        <f>工业富联东财年度指标!D4</f>
        <v>200.1</v>
      </c>
      <c r="F26" s="1">
        <f>工业富联东财年度指标!E4</f>
        <v>174.3</v>
      </c>
      <c r="G26" s="1">
        <f>工业富联东财年度指标!F4</f>
        <v>186.1</v>
      </c>
      <c r="H26" s="1">
        <f>工业富联东财年度指标!G4</f>
        <v>169</v>
      </c>
      <c r="I26" s="1">
        <f>工业富联东财年度指标!H4</f>
        <v>158.69999999999999</v>
      </c>
      <c r="J26" s="1"/>
      <c r="K26" s="1"/>
    </row>
    <row r="27" spans="1:11">
      <c r="A27" s="195" t="s">
        <v>569</v>
      </c>
      <c r="B27" s="185" t="s">
        <v>568</v>
      </c>
      <c r="C27" s="1">
        <f>工业富联东财年度指标!B5</f>
        <v>202.1</v>
      </c>
      <c r="D27" s="1">
        <f>工业富联东财年度指标!C5</f>
        <v>184.1</v>
      </c>
      <c r="E27" s="1">
        <f>工业富联东财年度指标!D5</f>
        <v>185.8</v>
      </c>
      <c r="F27" s="1">
        <f>工业富联东财年度指标!E5</f>
        <v>163.9</v>
      </c>
      <c r="G27" s="1">
        <f>工业富联东财年度指标!F5</f>
        <v>169.8</v>
      </c>
      <c r="H27" s="1">
        <f>工业富联东财年度指标!G5</f>
        <v>167.2</v>
      </c>
      <c r="I27" s="1">
        <f>工业富联东财年度指标!H5</f>
        <v>159.5</v>
      </c>
      <c r="J27" s="1"/>
      <c r="K27" s="1"/>
    </row>
    <row r="28" spans="1:11">
      <c r="B28" s="185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89" t="s">
        <v>538</v>
      </c>
      <c r="B29" s="185"/>
      <c r="C29" s="190">
        <f>1986610.61/10000</f>
        <v>198.66106100000002</v>
      </c>
      <c r="D29" s="190">
        <f>1985959.29/10000</f>
        <v>198.59592900000001</v>
      </c>
      <c r="E29" s="190">
        <f>1986510.4/10000</f>
        <v>198.65103999999999</v>
      </c>
      <c r="F29" s="190">
        <f t="shared" ref="F29:H29" si="6">1986510.4/10000</f>
        <v>198.65103999999999</v>
      </c>
      <c r="G29" s="190">
        <f t="shared" si="6"/>
        <v>198.65103999999999</v>
      </c>
      <c r="H29" s="190">
        <f t="shared" si="6"/>
        <v>198.65103999999999</v>
      </c>
      <c r="I29" s="190"/>
      <c r="J29" s="1"/>
      <c r="K29" s="1"/>
    </row>
    <row r="30" spans="1:11">
      <c r="A30" t="s">
        <v>539</v>
      </c>
      <c r="B30" s="185" t="s">
        <v>540</v>
      </c>
      <c r="C30" s="1">
        <f>C25/C29</f>
        <v>1.0591000014844378</v>
      </c>
      <c r="D30" s="1">
        <f t="shared" ref="D30:I30" si="7">D25/D29</f>
        <v>1.0107494197426372</v>
      </c>
      <c r="E30" s="1">
        <f t="shared" si="7"/>
        <v>1.0072814620049308</v>
      </c>
      <c r="F30" s="1">
        <f t="shared" si="7"/>
        <v>0.87745742483905442</v>
      </c>
      <c r="G30" s="1">
        <f t="shared" si="7"/>
        <v>0.9366265588138879</v>
      </c>
      <c r="H30" s="1">
        <f t="shared" si="7"/>
        <v>0.85085419134981621</v>
      </c>
      <c r="I30" s="1" t="e">
        <f t="shared" si="7"/>
        <v>#DIV/0!</v>
      </c>
      <c r="J30" s="1"/>
      <c r="K30" s="1"/>
    </row>
    <row r="31" spans="1:11">
      <c r="A31" s="195" t="s">
        <v>571</v>
      </c>
      <c r="B31" s="185" t="s">
        <v>572</v>
      </c>
      <c r="C31" s="1">
        <f>C27/C29</f>
        <v>1.017310584080692</v>
      </c>
      <c r="D31" s="1">
        <f t="shared" ref="D31:H31" si="8">D27/D29</f>
        <v>0.92700792471934301</v>
      </c>
      <c r="E31" s="1">
        <f t="shared" si="8"/>
        <v>0.93530846855873506</v>
      </c>
      <c r="F31" s="1">
        <f t="shared" si="8"/>
        <v>0.82506489772215641</v>
      </c>
      <c r="G31" s="1">
        <f t="shared" si="8"/>
        <v>0.85476522045895165</v>
      </c>
      <c r="H31" s="1">
        <f t="shared" si="8"/>
        <v>0.84167694264273674</v>
      </c>
      <c r="I31" s="1"/>
      <c r="J31" s="1"/>
      <c r="K31" s="1"/>
    </row>
    <row r="32" spans="1:11">
      <c r="A32" s="189" t="s">
        <v>541</v>
      </c>
      <c r="B32" s="185"/>
      <c r="C32" s="191">
        <v>0.57999999999999996</v>
      </c>
      <c r="D32" s="192">
        <v>0.55000000000000004</v>
      </c>
      <c r="E32" s="192">
        <v>0.5</v>
      </c>
      <c r="F32" s="192">
        <v>0.25</v>
      </c>
      <c r="G32" s="192">
        <v>0.2</v>
      </c>
      <c r="H32" s="192">
        <v>0.129</v>
      </c>
      <c r="I32" s="192"/>
      <c r="J32" s="1"/>
      <c r="K32" s="1"/>
    </row>
    <row r="33" spans="1:11">
      <c r="A33" t="s">
        <v>566</v>
      </c>
      <c r="B33" s="185" t="s">
        <v>573</v>
      </c>
      <c r="C33" s="20">
        <f>C32/C30</f>
        <v>0.54763478348321237</v>
      </c>
      <c r="D33" s="20">
        <f t="shared" ref="D33:H33" si="9">D32/D30</f>
        <v>0.54415069576794239</v>
      </c>
      <c r="E33" s="20">
        <f t="shared" si="9"/>
        <v>0.49638558720695725</v>
      </c>
      <c r="F33" s="20">
        <f t="shared" si="9"/>
        <v>0.28491410856299459</v>
      </c>
      <c r="G33" s="20">
        <f t="shared" si="9"/>
        <v>0.21353227507585651</v>
      </c>
      <c r="H33" s="20">
        <f t="shared" si="9"/>
        <v>0.15161234593597195</v>
      </c>
      <c r="I33" s="1"/>
      <c r="J33" s="1"/>
      <c r="K33" s="1"/>
    </row>
    <row r="34" spans="1:11">
      <c r="B34" s="185"/>
      <c r="C34" s="20"/>
      <c r="D34" s="20"/>
      <c r="E34" s="20"/>
      <c r="F34" s="20"/>
      <c r="G34" s="20"/>
      <c r="H34" s="20"/>
      <c r="I34" s="1"/>
      <c r="J34" s="1"/>
      <c r="K34" s="1"/>
    </row>
    <row r="35" spans="1:11">
      <c r="A35" t="s">
        <v>542</v>
      </c>
      <c r="B35" s="185" t="s">
        <v>543</v>
      </c>
      <c r="C35" s="1">
        <f>C36/C29</f>
        <v>7.0566145320244713</v>
      </c>
      <c r="D35" s="1">
        <f t="shared" ref="D35:I35" si="10">D36/D29</f>
        <v>6.4943522583486581</v>
      </c>
      <c r="E35" s="1">
        <f t="shared" si="10"/>
        <v>5.9994954972297148</v>
      </c>
      <c r="F35" s="1">
        <f t="shared" si="10"/>
        <v>5.2228545594324602</v>
      </c>
      <c r="G35" s="1">
        <f t="shared" si="10"/>
        <v>4.4943474748483574</v>
      </c>
      <c r="H35" s="1">
        <f t="shared" si="10"/>
        <v>3.6392779015906487</v>
      </c>
      <c r="I35" s="1" t="e">
        <f t="shared" si="10"/>
        <v>#DIV/0!</v>
      </c>
      <c r="J35" s="1"/>
      <c r="K35" s="1"/>
    </row>
    <row r="36" spans="1:11">
      <c r="A36" t="s">
        <v>544</v>
      </c>
      <c r="B36" s="185"/>
      <c r="C36" s="1">
        <f>工业富联资产负债变动表!B122/100000000</f>
        <v>1401.87453</v>
      </c>
      <c r="D36" s="1">
        <f>工业富联资产负债变动表!C122/100000000</f>
        <v>1289.7519199999999</v>
      </c>
      <c r="E36" s="1">
        <f>工业富联资产负债变动表!D122/100000000</f>
        <v>1191.80602</v>
      </c>
      <c r="F36" s="1">
        <f>工业富联资产负债变动表!E122/100000000</f>
        <v>1037.52549</v>
      </c>
      <c r="G36" s="1">
        <f>工业富联资产负债变动表!F122/100000000</f>
        <v>892.80679999999995</v>
      </c>
      <c r="H36" s="1">
        <f>工业富联资产负债变动表!G122/100000000</f>
        <v>722.94633999999996</v>
      </c>
      <c r="I36" s="1">
        <f>工业富联资产负债变动表!H122/100000000</f>
        <v>281.61059</v>
      </c>
    </row>
    <row r="37" spans="1:11">
      <c r="A37" t="s">
        <v>545</v>
      </c>
      <c r="B37" s="185" t="s">
        <v>546</v>
      </c>
      <c r="C37" s="20">
        <f>C25/C36</f>
        <v>0.15008613502664891</v>
      </c>
      <c r="D37" s="20">
        <f t="shared" ref="D37:I37" si="11">D25/D36</f>
        <v>0.15563513950806912</v>
      </c>
      <c r="E37" s="20">
        <f t="shared" si="11"/>
        <v>0.16789436086251688</v>
      </c>
      <c r="F37" s="20">
        <f t="shared" si="11"/>
        <v>0.1680034193665931</v>
      </c>
      <c r="G37" s="20">
        <f t="shared" si="11"/>
        <v>0.20840101128262015</v>
      </c>
      <c r="H37" s="20">
        <f t="shared" si="11"/>
        <v>0.23379753191640751</v>
      </c>
      <c r="I37" s="20">
        <f t="shared" si="11"/>
        <v>0.56345917246933086</v>
      </c>
    </row>
    <row r="38" spans="1:11">
      <c r="A38" s="195" t="s">
        <v>576</v>
      </c>
      <c r="B38" s="185" t="s">
        <v>577</v>
      </c>
      <c r="C38" s="20">
        <f>C27/C36</f>
        <v>0.14416411431627907</v>
      </c>
      <c r="D38" s="20">
        <f t="shared" ref="D38:I38" si="12">D27/D36</f>
        <v>0.14274062875595486</v>
      </c>
      <c r="E38" s="20">
        <f t="shared" si="12"/>
        <v>0.1558978532429296</v>
      </c>
      <c r="F38" s="20">
        <f t="shared" si="12"/>
        <v>0.15797202245122671</v>
      </c>
      <c r="G38" s="20">
        <f t="shared" si="12"/>
        <v>0.19018672348821719</v>
      </c>
      <c r="H38" s="20">
        <f t="shared" si="12"/>
        <v>0.23127580948815649</v>
      </c>
      <c r="I38" s="20">
        <f t="shared" si="12"/>
        <v>0.56638495022506075</v>
      </c>
    </row>
    <row r="39" spans="1:11">
      <c r="B39" s="185"/>
    </row>
    <row r="40" spans="1:11">
      <c r="A40" t="s">
        <v>547</v>
      </c>
      <c r="B40" s="185" t="s">
        <v>548</v>
      </c>
      <c r="C40" s="20">
        <f>工业富联资产负债变动表!B123/工业富联资产负债变动表!B122-1</f>
        <v>1.0522899506562831</v>
      </c>
      <c r="D40" s="20">
        <f>工业富联资产负债变动表!C123/工业富联资产负债变动表!C122-1</f>
        <v>1.20342887336039</v>
      </c>
      <c r="E40" s="20">
        <f>工业富联资产负债变动表!D123/工业富联资产负债变动表!D122-1</f>
        <v>1.2370148373642214</v>
      </c>
      <c r="F40" s="20">
        <f>工业富联资产负债变动表!E123/工业富联资产负债变动表!E122-1</f>
        <v>1.1735749740471437</v>
      </c>
      <c r="G40" s="20">
        <f>工业富联资产负债变动表!F123/工业富联资产负债变动表!F122-1</f>
        <v>1.3029948360608365</v>
      </c>
      <c r="H40" s="20">
        <f>工业富联资产负债变动表!G123/工业富联资产负债变动表!G122-1</f>
        <v>1.7748024009638117</v>
      </c>
      <c r="I40" s="20">
        <f>工业富联资产负债变动表!H123/工业富联资产负债变动表!H122-1</f>
        <v>4.2766567123771875</v>
      </c>
    </row>
    <row r="41" spans="1:11">
      <c r="B41" s="185" t="s">
        <v>549</v>
      </c>
      <c r="C41" s="20">
        <f>工业富联资产负债变动表!B129/(1-工业富联资产负债变动表!B129)</f>
        <v>1.0422670868004238</v>
      </c>
      <c r="D41" s="20">
        <f>工业富联资产负债变动表!C129/(1-工业富联资产负债变动表!C129)</f>
        <v>1.1912811998169421</v>
      </c>
      <c r="E41" s="20">
        <f>工业富联资产负债变动表!D129/(1-工业富联资产负债变动表!D129)</f>
        <v>1.2256087714081427</v>
      </c>
      <c r="F41" s="20">
        <f>工业富联资产负债变动表!E129/(1-工业富联资产负债变动表!E129)</f>
        <v>1.1618760012138352</v>
      </c>
      <c r="G41" s="20">
        <f>工业富联资产负债变动表!F129/(1-工业富联资产负债变动表!F129)</f>
        <v>1.3007576188635477</v>
      </c>
      <c r="H41" s="20">
        <f>工业富联资产负债变动表!G129/(1-工业富联资产负债变动表!G129)</f>
        <v>1.7726167801377446</v>
      </c>
      <c r="I41" s="20">
        <f>工业富联资产负债变动表!H129/(1-工业富联资产负债变动表!H129)</f>
        <v>4.2712520104251412</v>
      </c>
    </row>
    <row r="42" spans="1:11">
      <c r="A42" t="s">
        <v>350</v>
      </c>
      <c r="B42" s="185"/>
      <c r="C42" s="186">
        <f>工业富联资产负债变动表!B129</f>
        <v>0.5103480801001995</v>
      </c>
      <c r="D42" s="186">
        <f>工业富联资产负债变动表!C129</f>
        <v>0.54364597292052741</v>
      </c>
      <c r="E42" s="186">
        <f>工业富联资产负债变动表!D129</f>
        <v>0.55068473271369256</v>
      </c>
      <c r="F42" s="186">
        <f>工业富联资产负债变动表!E129</f>
        <v>0.53743878028225167</v>
      </c>
      <c r="G42" s="186">
        <f>工业富联资产负债变动表!F129</f>
        <v>0.56536056132068924</v>
      </c>
      <c r="H42" s="186">
        <f>工业富联资产负债变动表!G129</f>
        <v>0.63932988966822901</v>
      </c>
      <c r="I42" s="186">
        <f>工业富联资产负债变动表!H129</f>
        <v>0.81029174890096989</v>
      </c>
    </row>
    <row r="43" spans="1:11">
      <c r="B43" s="185"/>
    </row>
    <row r="44" spans="1:11">
      <c r="A44" t="s">
        <v>550</v>
      </c>
      <c r="B44" s="185"/>
      <c r="C44" s="20">
        <f>工业富联资产负债表!C7/工业富联利润表!C4</f>
        <v>0.18573754277634236</v>
      </c>
      <c r="D44" s="20">
        <f>工业富联资产负债表!G7/工业富联利润表!G4</f>
        <v>0.19085642737238628</v>
      </c>
      <c r="E44" s="20">
        <f>工业富联资产负债表!K7/工业富联利润表!K4</f>
        <v>0.19800345436274794</v>
      </c>
      <c r="F44" s="20">
        <f>工业富联资产负债表!L7/工业富联利润表!L4</f>
        <v>0.20108946913985296</v>
      </c>
      <c r="G44" s="20">
        <f>工业富联资产负债表!M7/工业富联利润表!M4</f>
        <v>0.20710603373989631</v>
      </c>
      <c r="H44" s="20">
        <f>工业富联资产负债表!N7/工业富联利润表!N4</f>
        <v>0.20732433547100146</v>
      </c>
      <c r="I44" s="20">
        <f>工业富联资产负债表!O7/工业富联利润表!O4</f>
        <v>0.22144847746915233</v>
      </c>
    </row>
    <row r="45" spans="1:11">
      <c r="A45" t="s">
        <v>551</v>
      </c>
      <c r="B45" s="185"/>
      <c r="C45" s="20">
        <f>工业富联资产负债表!C17/工业富联利润表!C4</f>
        <v>0.160984447610245</v>
      </c>
      <c r="D45" s="20">
        <f>工业富联资产负债表!G17/工业富联利润表!G4</f>
        <v>0.15106343186032004</v>
      </c>
      <c r="E45" s="20">
        <f>工业富联资产负债表!K17/工业富联利润表!K4</f>
        <v>0.16363703704133428</v>
      </c>
      <c r="F45" s="20">
        <f>工业富联资产负债表!L17/工业富联利润表!L4</f>
        <v>0.10503793954470322</v>
      </c>
      <c r="G45" s="20">
        <f>工业富联资产负债表!M17/工业富联利润表!M4</f>
        <v>0.10189918643046728</v>
      </c>
      <c r="H45" s="20">
        <f>工业富联资产负债表!N17/工业富联利润表!N4</f>
        <v>9.0201364374168605E-2</v>
      </c>
      <c r="I45" s="20">
        <f>工业富联资产负债表!O17/工业富联利润表!O4</f>
        <v>0.10027260351498805</v>
      </c>
    </row>
    <row r="46" spans="1:11">
      <c r="B46" s="185"/>
    </row>
    <row r="47" spans="1:11">
      <c r="A47" t="s">
        <v>552</v>
      </c>
      <c r="B47" s="185"/>
    </row>
    <row r="48" spans="1:11">
      <c r="A48" t="s">
        <v>553</v>
      </c>
      <c r="B48" s="185"/>
      <c r="C48" s="1">
        <f>工业富联利润表!C11/100000000</f>
        <v>108.11207</v>
      </c>
      <c r="D48" s="1">
        <f>工业富联利润表!G11/100000000</f>
        <v>115.88014</v>
      </c>
      <c r="E48" s="1">
        <f>工业富联利润表!K11/100000000</f>
        <v>108.35032</v>
      </c>
      <c r="F48" s="1">
        <f>工业富联利润表!L11/100000000</f>
        <v>100.37729</v>
      </c>
      <c r="G48" s="1">
        <f>工业富联利润表!M11/100000000</f>
        <v>94.271799999999999</v>
      </c>
      <c r="H48" s="1">
        <f>工业富联利润表!N11/100000000</f>
        <v>89.988789999999995</v>
      </c>
      <c r="I48" s="1">
        <f>工业富联利润表!O11/100000000</f>
        <v>0</v>
      </c>
    </row>
    <row r="49" spans="1:15">
      <c r="A49" t="s">
        <v>554</v>
      </c>
      <c r="B49" s="193" t="s">
        <v>555</v>
      </c>
      <c r="C49" s="188">
        <f>工业富联资产负债变动表!B134/100000000</f>
        <v>91.896979999999999</v>
      </c>
      <c r="D49" s="188">
        <f>工业富联资产负债变动表!C134/100000000</f>
        <v>80.932900000000004</v>
      </c>
      <c r="E49" s="188">
        <f>工业富联资产负债变动表!D134/100000000</f>
        <v>60.353149999999999</v>
      </c>
      <c r="F49" s="188">
        <f>工业富联资产负债变动表!E134/100000000</f>
        <v>36.062809999999999</v>
      </c>
      <c r="G49" s="188">
        <f>工业富联资产负债变动表!F134/100000000</f>
        <v>30.58426</v>
      </c>
      <c r="H49" s="188">
        <f>工业富联资产负债变动表!G134/100000000</f>
        <v>36.804879999999997</v>
      </c>
      <c r="O49" s="193"/>
    </row>
    <row r="50" spans="1:15">
      <c r="A50" t="s">
        <v>556</v>
      </c>
      <c r="B50" s="185"/>
      <c r="C50" s="1">
        <f t="shared" ref="C50:H50" si="13">C49/D6</f>
        <v>2.8537325502028112</v>
      </c>
      <c r="D50" s="1">
        <f t="shared" si="13"/>
        <v>3.2171521770153388</v>
      </c>
      <c r="E50" s="1">
        <f t="shared" si="13"/>
        <v>2.4806521287898868</v>
      </c>
      <c r="F50" s="1">
        <f t="shared" si="13"/>
        <v>1.3132660121484028</v>
      </c>
      <c r="G50" s="1">
        <f t="shared" si="13"/>
        <v>0.79071614477966068</v>
      </c>
      <c r="H50" s="1">
        <f t="shared" si="13"/>
        <v>0.99849892336478807</v>
      </c>
    </row>
    <row r="51" spans="1:15">
      <c r="A51" t="s">
        <v>557</v>
      </c>
      <c r="B51" s="185"/>
      <c r="C51" s="194">
        <f>C49/工业富联资产负债变动表!B121*100000000</f>
        <v>0.45449405532902643</v>
      </c>
      <c r="D51" s="194">
        <f>D49/工业富联资产负债变动表!C121*100000000</f>
        <v>0.48642205075953465</v>
      </c>
      <c r="E51" s="194">
        <f>E49/工业富联资产负债变动表!D121*100000000</f>
        <v>0.55328092213685653</v>
      </c>
      <c r="F51" s="194">
        <f>F49/工业富联资产负债变动表!E121*100000000</f>
        <v>0.46431676656767762</v>
      </c>
      <c r="G51" s="194">
        <f>G49/工业富联资产负债变动表!F121*100000000</f>
        <v>0.43135560781499593</v>
      </c>
      <c r="H51" s="194">
        <f>H49/工业富联资产负债变动表!G121*100000000</f>
        <v>0.4545414463986997</v>
      </c>
    </row>
    <row r="52" spans="1:15">
      <c r="A52" t="s">
        <v>558</v>
      </c>
      <c r="B52" s="185"/>
    </row>
    <row r="53" spans="1:15">
      <c r="B53" s="185"/>
    </row>
    <row r="54" spans="1:15">
      <c r="A54" t="s">
        <v>559</v>
      </c>
      <c r="B54" s="185"/>
    </row>
    <row r="55" spans="1:15">
      <c r="B55" s="185"/>
    </row>
    <row r="56" spans="1:15">
      <c r="A56" t="s">
        <v>560</v>
      </c>
      <c r="B56" s="185"/>
    </row>
    <row r="57" spans="1:15">
      <c r="A57" t="s">
        <v>561</v>
      </c>
      <c r="B57" s="185"/>
    </row>
    <row r="58" spans="1:15">
      <c r="B58" s="185"/>
    </row>
    <row r="59" spans="1:15">
      <c r="A59" t="s">
        <v>562</v>
      </c>
      <c r="B59" s="185"/>
    </row>
    <row r="60" spans="1:15">
      <c r="A60" t="s">
        <v>563</v>
      </c>
      <c r="B60" s="185"/>
    </row>
    <row r="62" spans="1:15">
      <c r="A62" t="s">
        <v>564</v>
      </c>
      <c r="C62" s="1">
        <f>工业富联利润表!C10/100000000</f>
        <v>-5.8581000000000003</v>
      </c>
      <c r="D62" s="1">
        <f>工业富联利润表!G10/100000000</f>
        <v>-7.0354200000000002</v>
      </c>
      <c r="E62" s="1">
        <f>工业富联利润表!K10/100000000</f>
        <v>-8.26389</v>
      </c>
      <c r="F62" s="1">
        <f>工业富联利润表!L10/100000000</f>
        <v>-2.3629500000000001</v>
      </c>
      <c r="G62" s="1">
        <f>工业富联利润表!M10/100000000</f>
        <v>-7.3531599999999999</v>
      </c>
      <c r="H62" s="1">
        <f>工业富联利润表!N10/100000000</f>
        <v>-3.24098</v>
      </c>
      <c r="I62" s="1">
        <f>工业富联利润表!O10/100000000</f>
        <v>8.5514700000000001</v>
      </c>
    </row>
    <row r="63" spans="1:15">
      <c r="A63" t="s">
        <v>565</v>
      </c>
      <c r="C63" s="20">
        <f t="shared" ref="C63:I63" si="14">C62/C3</f>
        <v>-1.229814561888235E-3</v>
      </c>
      <c r="D63" s="20">
        <f t="shared" si="14"/>
        <v>-1.3745092872294812E-3</v>
      </c>
      <c r="E63" s="20">
        <f t="shared" si="14"/>
        <v>-1.8800488523455976E-3</v>
      </c>
      <c r="F63" s="20">
        <f t="shared" si="14"/>
        <v>-5.4725040017982254E-4</v>
      </c>
      <c r="G63" s="20">
        <f t="shared" si="14"/>
        <v>-1.7991689556880446E-3</v>
      </c>
      <c r="H63" s="20">
        <f t="shared" si="14"/>
        <v>-7.8024892126069066E-4</v>
      </c>
      <c r="I63" s="20">
        <f t="shared" si="14"/>
        <v>2.4119639858032681E-3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0"/>
  <sheetViews>
    <sheetView topLeftCell="A6" zoomScaleNormal="100" workbookViewId="0">
      <selection activeCell="B105" sqref="B105"/>
    </sheetView>
  </sheetViews>
  <sheetFormatPr baseColWidth="10" defaultColWidth="8.83203125" defaultRowHeight="16"/>
  <cols>
    <col min="1" max="1" width="32.83203125" style="44" bestFit="1" customWidth="1"/>
    <col min="2" max="2" width="13.5" style="48" bestFit="1" customWidth="1"/>
    <col min="3" max="3" width="32.83203125" style="44" bestFit="1" customWidth="1"/>
    <col min="4" max="4" width="13.5" style="44" bestFit="1" customWidth="1"/>
    <col min="5" max="5" width="8.83203125" style="44"/>
    <col min="6" max="6" width="17.83203125" style="44" bestFit="1" customWidth="1"/>
    <col min="7" max="7" width="8.6640625" style="44" customWidth="1"/>
    <col min="8" max="8" width="33.6640625" style="44" bestFit="1" customWidth="1"/>
    <col min="9" max="16384" width="8.83203125" style="44"/>
  </cols>
  <sheetData>
    <row r="1" spans="1:9">
      <c r="A1" s="44" t="s">
        <v>0</v>
      </c>
      <c r="B1" s="48" t="str">
        <f>工业富联资产负债变动表!I1</f>
        <v>2017-2023</v>
      </c>
      <c r="D1" s="77" t="str">
        <f>B1</f>
        <v>2017-2023</v>
      </c>
    </row>
    <row r="2" spans="1:9">
      <c r="A2" s="44" t="s">
        <v>354</v>
      </c>
      <c r="B2" s="48" t="str">
        <f>工业富联资产负债变动表!I2</f>
        <v>最近7年合计</v>
      </c>
      <c r="D2" s="77" t="str">
        <f>B2</f>
        <v>最近7年合计</v>
      </c>
    </row>
    <row r="3" spans="1:9">
      <c r="A3" s="78" t="s">
        <v>355</v>
      </c>
      <c r="C3" s="78" t="s">
        <v>275</v>
      </c>
      <c r="D3" s="48"/>
    </row>
    <row r="4" spans="1:9">
      <c r="A4" s="79" t="s">
        <v>230</v>
      </c>
      <c r="B4" s="48">
        <f>工业富联资产负债变动表!I4/100000000</f>
        <v>785.27775999999994</v>
      </c>
      <c r="C4" s="79" t="s">
        <v>276</v>
      </c>
      <c r="D4" s="48">
        <f>工业富联资产负债变动表!I50/100000000</f>
        <v>394.47980999999999</v>
      </c>
      <c r="F4" s="80" t="s">
        <v>249</v>
      </c>
      <c r="G4" s="81">
        <f>B23</f>
        <v>1305.6139000000001</v>
      </c>
      <c r="H4" s="80" t="s">
        <v>294</v>
      </c>
      <c r="I4" s="81">
        <f>D22</f>
        <v>800.48347999999999</v>
      </c>
    </row>
    <row r="5" spans="1:9">
      <c r="A5" s="79" t="s">
        <v>231</v>
      </c>
      <c r="B5" s="48">
        <f>工业富联资产负债变动表!I5/100000000</f>
        <v>3.3325999999999998</v>
      </c>
      <c r="C5" s="79" t="s">
        <v>277</v>
      </c>
      <c r="D5" s="48">
        <f>工业富联资产负债变动表!I51/100000000</f>
        <v>0.13133</v>
      </c>
      <c r="F5" s="56"/>
      <c r="G5" s="56"/>
      <c r="H5" s="56"/>
      <c r="I5" s="56"/>
    </row>
    <row r="6" spans="1:9">
      <c r="A6" s="79" t="s">
        <v>232</v>
      </c>
      <c r="B6" s="48">
        <f>工业富联资产负债变动表!I6/100000000</f>
        <v>2.7939400000000001</v>
      </c>
      <c r="C6" s="79" t="s">
        <v>356</v>
      </c>
      <c r="D6" s="48">
        <f>工业富联资产负债变动表!I52/100000000</f>
        <v>320.15435000000002</v>
      </c>
      <c r="H6" s="80" t="s">
        <v>307</v>
      </c>
      <c r="I6" s="81">
        <f>D35</f>
        <v>88.405969999999996</v>
      </c>
    </row>
    <row r="7" spans="1:9">
      <c r="A7" s="79" t="s">
        <v>233</v>
      </c>
      <c r="B7" s="48">
        <f>工业富联资产负债变动表!I7/100000000</f>
        <v>339.00463999999999</v>
      </c>
      <c r="C7" s="79" t="s">
        <v>279</v>
      </c>
      <c r="D7" s="48">
        <f>工业富联资产负债变动表!I53/100000000</f>
        <v>0</v>
      </c>
      <c r="H7" s="56"/>
      <c r="I7" s="56"/>
    </row>
    <row r="8" spans="1:9">
      <c r="A8" s="79" t="s">
        <v>234</v>
      </c>
      <c r="B8" s="48">
        <f>工业富联资产负债变动表!I8/100000000</f>
        <v>7.3749999999999996E-2</v>
      </c>
      <c r="C8" s="79" t="s">
        <v>280</v>
      </c>
      <c r="D8" s="48">
        <f>工业富联资产负债变动表!I54/100000000</f>
        <v>320.15435000000002</v>
      </c>
      <c r="F8" s="80" t="s">
        <v>273</v>
      </c>
      <c r="G8" s="81">
        <f>B47</f>
        <v>214.00252</v>
      </c>
      <c r="H8" s="80" t="s">
        <v>320</v>
      </c>
      <c r="I8" s="81">
        <f>D48</f>
        <v>630.72697000000005</v>
      </c>
    </row>
    <row r="9" spans="1:9">
      <c r="A9" s="79" t="s">
        <v>235</v>
      </c>
      <c r="B9" s="48">
        <f>工业富联资产负债变动表!I9/100000000</f>
        <v>338.93088999999998</v>
      </c>
      <c r="C9" s="79" t="s">
        <v>281</v>
      </c>
      <c r="D9" s="48">
        <f>工业富联资产负债变动表!I55/100000000</f>
        <v>-1.84083</v>
      </c>
      <c r="F9" s="56"/>
      <c r="G9" s="56"/>
      <c r="H9" s="56"/>
      <c r="I9" s="56"/>
    </row>
    <row r="10" spans="1:9" ht="17" thickBot="1">
      <c r="A10" s="79" t="s">
        <v>357</v>
      </c>
      <c r="B10" s="48">
        <f>工业富联资产负债变动表!I10/100000000</f>
        <v>0</v>
      </c>
      <c r="C10" s="79" t="s">
        <v>282</v>
      </c>
      <c r="D10" s="48">
        <f>工业富联资产负债变动表!I56/100000000</f>
        <v>1.90316</v>
      </c>
      <c r="F10" s="82" t="s">
        <v>274</v>
      </c>
      <c r="G10" s="83">
        <f>G4+G8</f>
        <v>1519.6164200000001</v>
      </c>
      <c r="H10" s="82" t="s">
        <v>321</v>
      </c>
      <c r="I10" s="83">
        <f>I4+I6+I8</f>
        <v>1519.6164200000001</v>
      </c>
    </row>
    <row r="11" spans="1:9" ht="17" thickTop="1">
      <c r="A11" s="79" t="s">
        <v>237</v>
      </c>
      <c r="B11" s="48">
        <f>工业富联资产负债变动表!I11/100000000</f>
        <v>1.4084700000000001</v>
      </c>
      <c r="C11" s="79" t="s">
        <v>283</v>
      </c>
      <c r="D11" s="48">
        <f>工业富联资产负债变动表!I57/100000000</f>
        <v>8.0818499999999993</v>
      </c>
    </row>
    <row r="12" spans="1:9">
      <c r="A12" s="79" t="s">
        <v>358</v>
      </c>
      <c r="B12" s="48">
        <f>工业富联资产负债变动表!I12/100000000</f>
        <v>-317.4742</v>
      </c>
      <c r="C12" s="79" t="s">
        <v>284</v>
      </c>
      <c r="D12" s="48">
        <f>工业富联资产负债变动表!I58/100000000</f>
        <v>8.9505099999999995</v>
      </c>
    </row>
    <row r="13" spans="1:9">
      <c r="A13" s="79" t="s">
        <v>239</v>
      </c>
      <c r="B13" s="48">
        <f>工业富联资产负债变动表!I13/100000000</f>
        <v>0</v>
      </c>
      <c r="C13" s="79" t="s">
        <v>359</v>
      </c>
      <c r="D13" s="48">
        <f>工业富联资产负债变动表!I59/100000000</f>
        <v>55.204250000000002</v>
      </c>
    </row>
    <row r="14" spans="1:9">
      <c r="A14" s="79" t="s">
        <v>240</v>
      </c>
      <c r="B14" s="48">
        <f>工业富联资产负债变动表!I14/100000000</f>
        <v>0</v>
      </c>
      <c r="C14" s="79" t="s">
        <v>286</v>
      </c>
      <c r="D14" s="48">
        <f>工业富联资产负债变动表!I60/100000000</f>
        <v>0</v>
      </c>
    </row>
    <row r="15" spans="1:9">
      <c r="A15" s="79" t="s">
        <v>241</v>
      </c>
      <c r="B15" s="48">
        <f>工业富联资产负债变动表!I15/100000000</f>
        <v>-317.4742</v>
      </c>
      <c r="C15" s="79" t="s">
        <v>287</v>
      </c>
      <c r="D15" s="48">
        <f>工业富联资产负债变动表!I61/100000000</f>
        <v>1.31036</v>
      </c>
    </row>
    <row r="16" spans="1:9">
      <c r="A16" s="79" t="s">
        <v>242</v>
      </c>
      <c r="B16" s="48">
        <f>工业富联资产负债变动表!I16/100000000</f>
        <v>0</v>
      </c>
      <c r="C16" s="79" t="s">
        <v>288</v>
      </c>
      <c r="D16" s="48">
        <f>工业富联资产负债变动表!I62/100000000</f>
        <v>53.893889999999999</v>
      </c>
    </row>
    <row r="17" spans="1:4">
      <c r="A17" s="79" t="s">
        <v>243</v>
      </c>
      <c r="B17" s="48">
        <f>工业富联资产负债变动表!I17/100000000</f>
        <v>481.21908999999999</v>
      </c>
      <c r="C17" s="79" t="s">
        <v>289</v>
      </c>
      <c r="D17" s="48">
        <f>工业富联资产负债变动表!I63/100000000</f>
        <v>0</v>
      </c>
    </row>
    <row r="18" spans="1:4">
      <c r="A18" s="79" t="s">
        <v>244</v>
      </c>
      <c r="B18" s="48">
        <f>工业富联资产负债变动表!I18/100000000</f>
        <v>0</v>
      </c>
      <c r="C18" s="79" t="s">
        <v>290</v>
      </c>
      <c r="D18" s="48">
        <f>工业富联资产负债变动表!I64/100000000</f>
        <v>0</v>
      </c>
    </row>
    <row r="19" spans="1:4">
      <c r="A19" s="79" t="s">
        <v>245</v>
      </c>
      <c r="B19" s="48">
        <f>工业富联资产负债变动表!I19/100000000</f>
        <v>0</v>
      </c>
      <c r="C19" s="79" t="s">
        <v>291</v>
      </c>
      <c r="D19" s="48">
        <f>工业富联资产负债变动表!I65/100000000</f>
        <v>0</v>
      </c>
    </row>
    <row r="20" spans="1:4">
      <c r="A20" s="79" t="s">
        <v>246</v>
      </c>
      <c r="B20" s="48">
        <f>工业富联资产负债变动表!I20/100000000</f>
        <v>0</v>
      </c>
      <c r="C20" s="79" t="s">
        <v>292</v>
      </c>
      <c r="D20" s="48">
        <f>工业富联资产负债变动表!I66/100000000</f>
        <v>6.6873800000000001</v>
      </c>
    </row>
    <row r="21" spans="1:4">
      <c r="A21" s="79" t="s">
        <v>247</v>
      </c>
      <c r="B21" s="48">
        <f>工业富联资产负债变动表!I21/100000000</f>
        <v>0</v>
      </c>
      <c r="C21" s="79" t="s">
        <v>293</v>
      </c>
      <c r="D21" s="48">
        <f>工业富联资产负债变动表!I67/100000000</f>
        <v>6.7316700000000003</v>
      </c>
    </row>
    <row r="22" spans="1:4">
      <c r="A22" s="79" t="s">
        <v>248</v>
      </c>
      <c r="B22" s="48">
        <f>工业富联资产负债变动表!I22/100000000</f>
        <v>10.051600000000001</v>
      </c>
      <c r="C22" s="84" t="s">
        <v>294</v>
      </c>
      <c r="D22" s="85">
        <f>工业富联资产负债变动表!I68/100000000</f>
        <v>800.48347999999999</v>
      </c>
    </row>
    <row r="23" spans="1:4">
      <c r="A23" s="84" t="s">
        <v>249</v>
      </c>
      <c r="B23" s="85">
        <f>工业富联资产负债变动表!I23/100000000</f>
        <v>1305.6139000000001</v>
      </c>
      <c r="C23" s="78" t="s">
        <v>295</v>
      </c>
      <c r="D23" s="48"/>
    </row>
    <row r="24" spans="1:4">
      <c r="A24" s="78" t="s">
        <v>250</v>
      </c>
      <c r="C24" s="79" t="s">
        <v>296</v>
      </c>
      <c r="D24" s="48">
        <f>工业富联资产负债变动表!I70/100000000</f>
        <v>70.969430000000003</v>
      </c>
    </row>
    <row r="25" spans="1:4">
      <c r="A25" s="79" t="s">
        <v>251</v>
      </c>
      <c r="B25" s="48">
        <f>工业富联资产负债变动表!I25/100000000</f>
        <v>0</v>
      </c>
      <c r="C25" s="79" t="s">
        <v>297</v>
      </c>
      <c r="D25" s="48">
        <f>工业富联资产负债变动表!I71/100000000</f>
        <v>0</v>
      </c>
    </row>
    <row r="26" spans="1:4">
      <c r="A26" s="79" t="s">
        <v>252</v>
      </c>
      <c r="B26" s="48">
        <f>工业富联资产负债变动表!I26/100000000</f>
        <v>6.9647100000000002</v>
      </c>
      <c r="C26" s="79" t="s">
        <v>360</v>
      </c>
      <c r="D26" s="48">
        <f>工业富联资产负债变动表!I72/100000000</f>
        <v>10.102869999999999</v>
      </c>
    </row>
    <row r="27" spans="1:4">
      <c r="A27" s="79" t="s">
        <v>253</v>
      </c>
      <c r="B27" s="48">
        <f>工业富联资产负债变动表!I27/100000000</f>
        <v>0</v>
      </c>
      <c r="C27" s="79" t="s">
        <v>299</v>
      </c>
      <c r="D27" s="48">
        <f>工业富联资产负债变动表!I73/100000000</f>
        <v>0</v>
      </c>
    </row>
    <row r="28" spans="1:4">
      <c r="A28" s="79" t="s">
        <v>254</v>
      </c>
      <c r="B28" s="48">
        <f>工业富联资产负债变动表!I28/100000000</f>
        <v>0.62982000000000005</v>
      </c>
      <c r="C28" s="79" t="s">
        <v>361</v>
      </c>
      <c r="D28" s="48">
        <f>工业富联资产负债变动表!I74/100000000</f>
        <v>0</v>
      </c>
    </row>
    <row r="29" spans="1:4">
      <c r="A29" s="79" t="s">
        <v>255</v>
      </c>
      <c r="B29" s="48">
        <f>工业富联资产负债变动表!I29/100000000</f>
        <v>71.422470000000004</v>
      </c>
      <c r="C29" s="79" t="s">
        <v>301</v>
      </c>
      <c r="D29" s="48">
        <f>工业富联资产负债变动表!I75/100000000</f>
        <v>0</v>
      </c>
    </row>
    <row r="30" spans="1:4">
      <c r="A30" s="79" t="s">
        <v>256</v>
      </c>
      <c r="B30" s="48">
        <f>工业富联资产负债变动表!I30/100000000</f>
        <v>-0.19819999999999999</v>
      </c>
      <c r="C30" s="79" t="s">
        <v>302</v>
      </c>
      <c r="D30" s="48">
        <f>工业富联资产负债变动表!I76/100000000</f>
        <v>0</v>
      </c>
    </row>
    <row r="31" spans="1:4">
      <c r="A31" s="79" t="s">
        <v>362</v>
      </c>
      <c r="B31" s="48">
        <f>工业富联资产负债变动表!I31/100000000</f>
        <v>25.080559999999998</v>
      </c>
      <c r="C31" s="79" t="s">
        <v>303</v>
      </c>
      <c r="D31" s="48">
        <f>工业富联资产负债变动表!I77/100000000</f>
        <v>2.5602999999999998</v>
      </c>
    </row>
    <row r="32" spans="1:4">
      <c r="A32" s="79" t="s">
        <v>258</v>
      </c>
      <c r="B32" s="48">
        <f>工业富联资产负债变动表!I32/100000000</f>
        <v>19.624479999999998</v>
      </c>
      <c r="C32" s="79" t="s">
        <v>304</v>
      </c>
      <c r="D32" s="48">
        <f>工业富联资产负债变动表!I78/100000000</f>
        <v>2.0306799999999998</v>
      </c>
    </row>
    <row r="33" spans="1:4">
      <c r="A33" s="79" t="s">
        <v>259</v>
      </c>
      <c r="B33" s="48">
        <f>工业富联资产负债变动表!I33/100000000</f>
        <v>0</v>
      </c>
      <c r="C33" s="79" t="s">
        <v>305</v>
      </c>
      <c r="D33" s="48">
        <f>工业富联资产负债变动表!I79/100000000</f>
        <v>2.7426900000000001</v>
      </c>
    </row>
    <row r="34" spans="1:4">
      <c r="A34" s="79" t="s">
        <v>363</v>
      </c>
      <c r="B34" s="48">
        <f>工业富联资产负债变动表!I34/100000000</f>
        <v>177.11565999999999</v>
      </c>
      <c r="C34" s="79" t="s">
        <v>306</v>
      </c>
      <c r="D34" s="48">
        <f>工业富联资产负债变动表!I80/100000000</f>
        <v>0</v>
      </c>
    </row>
    <row r="35" spans="1:4">
      <c r="A35" s="79" t="s">
        <v>261</v>
      </c>
      <c r="B35" s="48">
        <f>工业富联资产负债变动表!I35/100000000</f>
        <v>63.522779999999997</v>
      </c>
      <c r="C35" s="80" t="s">
        <v>307</v>
      </c>
      <c r="D35" s="85">
        <f>工业富联资产负债变动表!I81/100000000</f>
        <v>88.405969999999996</v>
      </c>
    </row>
    <row r="36" spans="1:4">
      <c r="A36" s="79" t="s">
        <v>262</v>
      </c>
      <c r="B36" s="48">
        <f>工业富联资产负债变动表!I36/100000000</f>
        <v>0</v>
      </c>
      <c r="C36" s="78" t="s">
        <v>308</v>
      </c>
      <c r="D36" s="48">
        <f>工业富联资产负债变动表!I82/100000000</f>
        <v>888.88945000000001</v>
      </c>
    </row>
    <row r="37" spans="1:4">
      <c r="A37" s="79" t="s">
        <v>263</v>
      </c>
      <c r="B37" s="48">
        <f>工业富联资产负债变动表!I37/100000000</f>
        <v>0</v>
      </c>
      <c r="C37" s="78" t="s">
        <v>309</v>
      </c>
      <c r="D37" s="48"/>
    </row>
    <row r="38" spans="1:4">
      <c r="A38" s="79" t="s">
        <v>264</v>
      </c>
      <c r="B38" s="48">
        <f>工业富联资产负债变动表!I38/100000000</f>
        <v>0</v>
      </c>
      <c r="C38" s="79" t="s">
        <v>310</v>
      </c>
      <c r="D38" s="48">
        <f>工业富联资产负债变动表!I84/100000000</f>
        <v>198.66105999999999</v>
      </c>
    </row>
    <row r="39" spans="1:4">
      <c r="A39" s="79" t="s">
        <v>265</v>
      </c>
      <c r="B39" s="48">
        <f>工业富联资产负债变动表!I39/100000000</f>
        <v>0</v>
      </c>
      <c r="C39" s="79" t="s">
        <v>311</v>
      </c>
      <c r="D39" s="48">
        <f>工业富联资产负债变动表!I85/100000000</f>
        <v>13.19401</v>
      </c>
    </row>
    <row r="40" spans="1:4">
      <c r="A40" s="79" t="s">
        <v>364</v>
      </c>
      <c r="B40" s="48">
        <f>工业富联资产负债变动表!I40/100000000</f>
        <v>15.711410000000001</v>
      </c>
      <c r="C40" s="79" t="s">
        <v>312</v>
      </c>
      <c r="D40" s="48">
        <f>工业富联资产负债变动表!I86/100000000</f>
        <v>20.139749999999999</v>
      </c>
    </row>
    <row r="41" spans="1:4">
      <c r="A41" s="79" t="s">
        <v>267</v>
      </c>
      <c r="B41" s="48">
        <f>工业富联资产负债变动表!I41/100000000</f>
        <v>7.6006299999999998</v>
      </c>
      <c r="C41" s="79" t="s">
        <v>313</v>
      </c>
      <c r="D41" s="48">
        <f>工业富联资产负债变动表!I87/100000000</f>
        <v>-14.970649999999999</v>
      </c>
    </row>
    <row r="42" spans="1:4">
      <c r="A42" s="79" t="s">
        <v>268</v>
      </c>
      <c r="B42" s="48">
        <f>工业富联资产负债变动表!I42/100000000</f>
        <v>0</v>
      </c>
      <c r="C42" s="79" t="s">
        <v>314</v>
      </c>
      <c r="D42" s="48">
        <f>工业富联资产负债变动表!I88/100000000</f>
        <v>0</v>
      </c>
    </row>
    <row r="43" spans="1:4">
      <c r="A43" s="79" t="s">
        <v>269</v>
      </c>
      <c r="B43" s="48">
        <f>工业富联资产负债变动表!I43/100000000</f>
        <v>3.1015299999999999</v>
      </c>
      <c r="C43" s="79" t="s">
        <v>315</v>
      </c>
      <c r="D43" s="48">
        <f>工业富联资产负债变动表!I89/100000000</f>
        <v>51.51191</v>
      </c>
    </row>
    <row r="44" spans="1:4">
      <c r="A44" s="79" t="s">
        <v>270</v>
      </c>
      <c r="B44" s="48">
        <f>工业富联资产负债变动表!I44/100000000</f>
        <v>24.355889999999999</v>
      </c>
      <c r="C44" s="79" t="s">
        <v>316</v>
      </c>
      <c r="D44" s="48">
        <f>工业富联资产负债变动表!I90/100000000</f>
        <v>0</v>
      </c>
    </row>
    <row r="45" spans="1:4">
      <c r="A45" s="79" t="s">
        <v>271</v>
      </c>
      <c r="B45" s="48">
        <f>工业富联资产负债变动表!I45/100000000</f>
        <v>-5.06724</v>
      </c>
      <c r="C45" s="79" t="s">
        <v>317</v>
      </c>
      <c r="D45" s="48">
        <f>工业富联资产负债变动表!I91/100000000</f>
        <v>400.58711</v>
      </c>
    </row>
    <row r="46" spans="1:4">
      <c r="A46" s="79" t="s">
        <v>272</v>
      </c>
      <c r="B46" s="48">
        <f>工业富联资产负债变动表!I46/100000000</f>
        <v>6.3342400000000003</v>
      </c>
      <c r="C46" s="78" t="s">
        <v>318</v>
      </c>
      <c r="D46" s="48">
        <f>工业富联资产负债变动表!I92/100000000</f>
        <v>628.84369000000004</v>
      </c>
    </row>
    <row r="47" spans="1:4">
      <c r="A47" s="84" t="s">
        <v>273</v>
      </c>
      <c r="B47" s="85">
        <f>工业富联资产负债变动表!I47/100000000</f>
        <v>214.00252</v>
      </c>
      <c r="C47" s="78" t="s">
        <v>319</v>
      </c>
      <c r="D47" s="48">
        <f>工业富联资产负债变动表!I93/100000000</f>
        <v>1.8832800000000001</v>
      </c>
    </row>
    <row r="48" spans="1:4">
      <c r="C48" s="84" t="s">
        <v>320</v>
      </c>
      <c r="D48" s="85">
        <f>工业富联资产负债变动表!I94/100000000</f>
        <v>630.72697000000005</v>
      </c>
    </row>
    <row r="49" spans="1:4" thickBot="1">
      <c r="A49" s="82" t="s">
        <v>274</v>
      </c>
      <c r="B49" s="86">
        <f>工业富联资产负债变动表!I48/100000000</f>
        <v>1519.6164200000001</v>
      </c>
      <c r="C49" s="82" t="s">
        <v>321</v>
      </c>
      <c r="D49" s="86">
        <f>工业富联资产负债变动表!I95/100000000</f>
        <v>1519.6164200000001</v>
      </c>
    </row>
    <row r="50" spans="1:4" ht="17" thickTop="1"/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7"/>
  <sheetViews>
    <sheetView workbookViewId="0">
      <selection activeCell="B12" sqref="B12"/>
    </sheetView>
  </sheetViews>
  <sheetFormatPr baseColWidth="10" defaultColWidth="9" defaultRowHeight="15"/>
  <cols>
    <col min="1" max="1" width="40.5" style="88" customWidth="1"/>
    <col min="2" max="2" width="17.6640625" style="88" bestFit="1" customWidth="1"/>
    <col min="3" max="3" width="1.33203125" style="88" customWidth="1"/>
    <col min="4" max="4" width="16.6640625" style="88" bestFit="1" customWidth="1"/>
    <col min="5" max="5" width="15.1640625" style="88" bestFit="1" customWidth="1"/>
    <col min="6" max="6" width="12.6640625" style="88" bestFit="1" customWidth="1"/>
    <col min="7" max="7" width="16.6640625" style="88" bestFit="1" customWidth="1"/>
    <col min="8" max="8" width="16.33203125" style="88" bestFit="1" customWidth="1"/>
    <col min="9" max="16384" width="9" style="88"/>
  </cols>
  <sheetData>
    <row r="1" spans="1:9" s="87" customFormat="1">
      <c r="A1" s="87" t="s">
        <v>365</v>
      </c>
      <c r="B1" s="87" t="s">
        <v>366</v>
      </c>
      <c r="E1" s="87" t="s">
        <v>366</v>
      </c>
    </row>
    <row r="2" spans="1:9">
      <c r="A2" s="88" t="s">
        <v>367</v>
      </c>
      <c r="B2" s="89">
        <f>工业富联资产负债变动表!I97</f>
        <v>80139832000</v>
      </c>
      <c r="D2" s="88" t="s">
        <v>368</v>
      </c>
      <c r="E2" s="89">
        <f>工业富联资产负债变动表!I102</f>
        <v>39447981000</v>
      </c>
    </row>
    <row r="3" spans="1:9" ht="16">
      <c r="A3" s="88" t="s">
        <v>369</v>
      </c>
      <c r="B3" s="89">
        <f>工业富联资产负债变动表!I98</f>
        <v>1877654000</v>
      </c>
      <c r="D3" s="90" t="s">
        <v>370</v>
      </c>
      <c r="E3" s="89">
        <f>工业富联资产负债变动表!I103</f>
        <v>-324930000</v>
      </c>
    </row>
    <row r="4" spans="1:9">
      <c r="A4" s="88" t="s">
        <v>371</v>
      </c>
      <c r="B4" s="89">
        <f>工业富联资产负债变动表!I100</f>
        <v>48121909000</v>
      </c>
      <c r="E4" s="89"/>
    </row>
    <row r="5" spans="1:9">
      <c r="A5" s="88" t="s">
        <v>372</v>
      </c>
      <c r="B5" s="89">
        <f>工业富联资产负债变动表!I99</f>
        <v>-37136809000</v>
      </c>
      <c r="G5" s="91" t="s">
        <v>373</v>
      </c>
      <c r="H5" s="91" t="s">
        <v>374</v>
      </c>
    </row>
    <row r="6" spans="1:9">
      <c r="A6" s="88" t="s">
        <v>375</v>
      </c>
      <c r="B6" s="89">
        <f>工业富联资产负债变动表!I101</f>
        <v>-3366493000</v>
      </c>
      <c r="E6" s="89"/>
      <c r="F6" s="88" t="s">
        <v>330</v>
      </c>
      <c r="G6" s="92">
        <f>工业富联现金流量表!P35</f>
        <v>40340350000</v>
      </c>
      <c r="H6" s="93">
        <f>G6-G10</f>
        <v>72657644600</v>
      </c>
    </row>
    <row r="7" spans="1:9">
      <c r="A7" s="88" t="s">
        <v>376</v>
      </c>
      <c r="B7" s="89">
        <f>工业富联资产负债变动表!I25+工业富联资产负债变动表!I26+工业富联资产负债变动表!I27</f>
        <v>696471000</v>
      </c>
      <c r="D7" s="88" t="s">
        <v>377</v>
      </c>
      <c r="E7" s="89">
        <f>工业富联资产负债变动表!I70</f>
        <v>7096943000</v>
      </c>
    </row>
    <row r="8" spans="1:9">
      <c r="A8" s="88" t="s">
        <v>378</v>
      </c>
      <c r="B8" s="89">
        <f>工业富联资产负债变动表!I28</f>
        <v>62982000</v>
      </c>
      <c r="D8" s="88" t="s">
        <v>379</v>
      </c>
      <c r="E8" s="89">
        <f>工业富联资产负债变动表!I71</f>
        <v>0</v>
      </c>
      <c r="F8" s="94"/>
    </row>
    <row r="9" spans="1:9">
      <c r="A9" s="88" t="s">
        <v>380</v>
      </c>
      <c r="B9" s="89">
        <f>工业富联资产负债变动表!I29</f>
        <v>7142247000</v>
      </c>
      <c r="D9" s="88" t="s">
        <v>381</v>
      </c>
      <c r="E9" s="89">
        <f>工业富联资产负债变动表!I81-工业富联资产负债变动表!I70-工业富联资产负债变动表!I71</f>
        <v>1743654000</v>
      </c>
      <c r="F9" s="88" t="s">
        <v>329</v>
      </c>
      <c r="G9" s="89">
        <f>工业富联资产负债变动表!I105</f>
        <v>129929897000</v>
      </c>
      <c r="I9" s="88" t="s">
        <v>382</v>
      </c>
    </row>
    <row r="10" spans="1:9" ht="16">
      <c r="A10" s="88" t="s">
        <v>383</v>
      </c>
      <c r="B10" s="89">
        <f>工业富联资产负债变动表!I30</f>
        <v>-19820000</v>
      </c>
      <c r="E10" s="89"/>
      <c r="F10" s="88" t="s">
        <v>330</v>
      </c>
      <c r="G10" s="95">
        <f>工业富联资产负债变动表!I106</f>
        <v>-32317294600</v>
      </c>
      <c r="H10" s="96">
        <f>SUM(G9:G10)</f>
        <v>97612602400</v>
      </c>
      <c r="I10" s="97">
        <f>-G10/G9</f>
        <v>0.24872870175522421</v>
      </c>
    </row>
    <row r="11" spans="1:9" ht="16">
      <c r="A11" s="88" t="s">
        <v>384</v>
      </c>
      <c r="B11" s="89">
        <f>工业富联资产负债变动表!I32+工业富联资产负债变动表!I33+工业富联资产负债变动表!I35+工业富联资产负债变动表!I36</f>
        <v>8314726000</v>
      </c>
      <c r="E11" s="89"/>
      <c r="F11" s="90" t="s">
        <v>385</v>
      </c>
      <c r="G11" s="89">
        <f>工业富联资产负债变动表!I107</f>
        <v>26722900000</v>
      </c>
    </row>
    <row r="12" spans="1:9">
      <c r="A12" s="88" t="s">
        <v>386</v>
      </c>
      <c r="B12" s="89">
        <f>工业富联资产负债变动表!I37+工业富联资产负债变动表!I38+工业富联资产负债变动表!I39+工业富联资产负债变动表!I40</f>
        <v>1571141000</v>
      </c>
      <c r="E12" s="89"/>
      <c r="F12" s="88" t="s">
        <v>387</v>
      </c>
      <c r="G12" s="89">
        <f>工业富联现金流量表!P28-G11</f>
        <v>3808889000</v>
      </c>
    </row>
    <row r="13" spans="1:9">
      <c r="A13" s="88" t="s">
        <v>388</v>
      </c>
      <c r="B13" s="89">
        <f>工业富联资产负债变动表!I41</f>
        <v>760063000</v>
      </c>
      <c r="E13" s="89"/>
      <c r="F13" s="88" t="s">
        <v>389</v>
      </c>
      <c r="G13" s="96">
        <f>G14-G10-G11-G9-G12</f>
        <v>-65260022400</v>
      </c>
      <c r="H13" s="98"/>
    </row>
    <row r="14" spans="1:9">
      <c r="A14" s="88" t="s">
        <v>390</v>
      </c>
      <c r="B14" s="89">
        <f>工业富联资产负债变动表!I42</f>
        <v>0</v>
      </c>
      <c r="D14" s="88" t="s">
        <v>391</v>
      </c>
      <c r="E14" s="89">
        <f>工业富联资产负债变动表!I92</f>
        <v>62884369000</v>
      </c>
      <c r="G14" s="89">
        <f>E14</f>
        <v>62884369000</v>
      </c>
      <c r="H14" s="89"/>
    </row>
    <row r="15" spans="1:9">
      <c r="A15" s="88" t="s">
        <v>392</v>
      </c>
      <c r="B15" s="89">
        <f>工业富联资产负债变动表!I43</f>
        <v>310153000</v>
      </c>
      <c r="E15" s="89"/>
      <c r="G15" s="89"/>
      <c r="H15" s="89"/>
    </row>
    <row r="16" spans="1:9">
      <c r="A16" s="88" t="s">
        <v>393</v>
      </c>
      <c r="B16" s="89">
        <f>工业富联资产负债变动表!I44+工业富联资产负债变动表!I45+工业富联资产负债变动表!I46</f>
        <v>2562289000</v>
      </c>
      <c r="D16" s="88" t="s">
        <v>394</v>
      </c>
      <c r="E16" s="89">
        <f>工业富联资产负债变动表!I93</f>
        <v>188328000</v>
      </c>
    </row>
    <row r="17" spans="1:7" ht="16" thickBot="1">
      <c r="A17" s="88" t="s">
        <v>395</v>
      </c>
      <c r="B17" s="99">
        <f>SUM(B2:B16)</f>
        <v>111036345000</v>
      </c>
      <c r="D17" s="88" t="s">
        <v>395</v>
      </c>
      <c r="E17" s="99">
        <f>SUM(E2:E16)</f>
        <v>111036345000</v>
      </c>
    </row>
    <row r="18" spans="1:7">
      <c r="E18" s="89">
        <f>B17-E17</f>
        <v>0</v>
      </c>
    </row>
    <row r="19" spans="1:7" ht="16">
      <c r="A19" s="88" t="s">
        <v>396</v>
      </c>
      <c r="B19" s="100">
        <f>B3+B4</f>
        <v>49999563000</v>
      </c>
      <c r="D19" s="101" t="s">
        <v>397</v>
      </c>
      <c r="E19" s="89">
        <f>G9</f>
        <v>129929897000</v>
      </c>
      <c r="F19" s="102">
        <f>B19/E19</f>
        <v>0.38481953849313066</v>
      </c>
    </row>
    <row r="20" spans="1:7">
      <c r="A20" s="88" t="s">
        <v>384</v>
      </c>
      <c r="B20" s="89">
        <f>B11</f>
        <v>8314726000</v>
      </c>
      <c r="D20" s="101" t="s">
        <v>397</v>
      </c>
      <c r="E20" s="89">
        <f>E19</f>
        <v>129929897000</v>
      </c>
      <c r="F20" s="102">
        <f>B20/E20</f>
        <v>6.3993939747370082E-2</v>
      </c>
    </row>
    <row r="21" spans="1:7">
      <c r="A21" s="101" t="s">
        <v>398</v>
      </c>
      <c r="B21" s="89">
        <f>(E20-B20)/7</f>
        <v>17373595857.142857</v>
      </c>
      <c r="D21" s="103" t="s">
        <v>399</v>
      </c>
      <c r="E21" s="103"/>
      <c r="F21" s="104">
        <f>B21/(B26/B30)</f>
        <v>0.11945508523988187</v>
      </c>
    </row>
    <row r="23" spans="1:7" s="91" customFormat="1" ht="16">
      <c r="B23" s="105" t="s">
        <v>400</v>
      </c>
      <c r="D23" s="91" t="s">
        <v>401</v>
      </c>
      <c r="E23" s="91" t="s">
        <v>402</v>
      </c>
    </row>
    <row r="24" spans="1:7" ht="16">
      <c r="A24" s="88" t="s">
        <v>582</v>
      </c>
      <c r="B24" s="100">
        <f>SUM(工业富联利润表!B40:E40)</f>
        <v>489139526000</v>
      </c>
      <c r="D24" s="100">
        <f>SUM(工业富联利润表!F40:I40)</f>
        <v>512675653000</v>
      </c>
      <c r="E24" s="102">
        <f t="shared" ref="E24:E29" si="0">B24/D24-1</f>
        <v>-4.5908415705475325E-2</v>
      </c>
      <c r="G24" s="106"/>
    </row>
    <row r="25" spans="1:7" ht="16">
      <c r="A25" s="88" t="s">
        <v>404</v>
      </c>
      <c r="B25" s="100">
        <f>SUM(工业富联利润表!B42:E42)</f>
        <v>449493014000</v>
      </c>
      <c r="D25" s="100">
        <f>SUM(工业富联利润表!F42:I42)</f>
        <v>474822792000</v>
      </c>
      <c r="E25" s="102">
        <f t="shared" si="0"/>
        <v>-5.334575009196274E-2</v>
      </c>
    </row>
    <row r="26" spans="1:7" ht="16">
      <c r="A26" s="90" t="s">
        <v>405</v>
      </c>
      <c r="B26" s="100">
        <f>SUM(工业富联利润表!B60:E60)</f>
        <v>22096707000</v>
      </c>
      <c r="D26" s="100">
        <f>SUM(工业富联利润表!F60:I60)</f>
        <v>19945655000</v>
      </c>
      <c r="E26" s="107">
        <f t="shared" si="0"/>
        <v>0.10784564357500415</v>
      </c>
    </row>
    <row r="27" spans="1:7" ht="16">
      <c r="A27" s="88" t="s">
        <v>406</v>
      </c>
      <c r="B27" s="100">
        <f>工业富联现金流量表!B13+工业富联现金流量表!C13-工业富联现金流量表!F13</f>
        <v>27444725000</v>
      </c>
      <c r="D27" s="100">
        <f>工业富联现金流量表!F13+工业富联现金流量表!G13-工业富联现金流量表!J13</f>
        <v>34453003000</v>
      </c>
      <c r="E27" s="102">
        <f t="shared" si="0"/>
        <v>-0.20341559195870385</v>
      </c>
    </row>
    <row r="28" spans="1:7" ht="16">
      <c r="A28" s="88" t="s">
        <v>407</v>
      </c>
      <c r="B28" s="100">
        <f>SUM(工业富联利润表!B46:E46)</f>
        <v>-1128911000</v>
      </c>
      <c r="D28" s="100">
        <f>SUM(工业富联利润表!F46:I46)</f>
        <v>-201970000</v>
      </c>
      <c r="E28" s="102">
        <f t="shared" si="0"/>
        <v>4.5894984403624299</v>
      </c>
    </row>
    <row r="29" spans="1:7" ht="16">
      <c r="A29" s="88" t="s">
        <v>408</v>
      </c>
      <c r="B29" s="100">
        <f>SUM(工业富联利润表!B50:E50)</f>
        <v>17242000</v>
      </c>
      <c r="D29" s="100">
        <f>SUM(工业富联利润表!F50:I50)</f>
        <v>-508405000</v>
      </c>
      <c r="E29" s="102">
        <f t="shared" si="0"/>
        <v>-1.0339139072196379</v>
      </c>
    </row>
    <row r="30" spans="1:7" ht="16">
      <c r="A30" s="88" t="s">
        <v>349</v>
      </c>
      <c r="B30" s="108">
        <f>B26/工业富联资产负债表!B92</f>
        <v>0.15192963160360859</v>
      </c>
      <c r="C30" s="109"/>
      <c r="D30" s="20">
        <f>D26/工业富联资产负债表!F92</f>
        <v>0.15090966295689001</v>
      </c>
    </row>
    <row r="31" spans="1:7">
      <c r="A31" s="88" t="s">
        <v>409</v>
      </c>
      <c r="B31" s="89">
        <f>B24-B25</f>
        <v>39646512000</v>
      </c>
      <c r="D31" s="89">
        <f>D24-D25</f>
        <v>37852861000</v>
      </c>
    </row>
    <row r="32" spans="1:7">
      <c r="A32" s="88" t="s">
        <v>410</v>
      </c>
      <c r="B32" s="102">
        <f>B31/B24</f>
        <v>8.1053584698448602E-2</v>
      </c>
      <c r="D32" s="102">
        <f>D31/D24</f>
        <v>7.383393531270345E-2</v>
      </c>
    </row>
    <row r="33" spans="1:4">
      <c r="A33" s="88" t="s">
        <v>411</v>
      </c>
      <c r="B33" s="102">
        <f>B26/B24</f>
        <v>4.5174650228532134E-2</v>
      </c>
      <c r="D33" s="102">
        <f>D26/D24</f>
        <v>3.8905017008872861E-2</v>
      </c>
    </row>
    <row r="34" spans="1:4">
      <c r="A34" s="88" t="s">
        <v>412</v>
      </c>
      <c r="B34" s="110">
        <f>B24/工业富联资产负债表!B95</f>
        <v>1.7676759727761879</v>
      </c>
      <c r="D34" s="110">
        <f>D24/工业富联资产负债表!F95</f>
        <v>1.990107770792747</v>
      </c>
    </row>
    <row r="35" spans="1:4">
      <c r="A35" s="88" t="s">
        <v>413</v>
      </c>
      <c r="B35" s="111">
        <f>工业富联资产负债表!B95/工业富联资产负债表!B92</f>
        <v>1.9025892007285679</v>
      </c>
      <c r="D35" s="111">
        <f>工业富联资产负债表!F95/工业富联资产负债表!F92</f>
        <v>1.9491032431975117</v>
      </c>
    </row>
    <row r="36" spans="1:4">
      <c r="A36" s="88" t="s">
        <v>414</v>
      </c>
      <c r="B36" s="102">
        <f>B33*B34*B35</f>
        <v>0.15192963160360859</v>
      </c>
      <c r="D36" s="102">
        <f>D33*D34*D35</f>
        <v>0.15090966295689004</v>
      </c>
    </row>
    <row r="37" spans="1:4">
      <c r="A37" s="112" t="s">
        <v>350</v>
      </c>
      <c r="B37" s="113">
        <f>工业富联资产负债表!B97</f>
        <v>0.4716725296173106</v>
      </c>
      <c r="D37" s="113">
        <f>工业富联资产负债表!F97</f>
        <v>0.48428203491525951</v>
      </c>
    </row>
    <row r="38" spans="1:4">
      <c r="A38" s="88" t="s">
        <v>415</v>
      </c>
      <c r="B38" s="114">
        <f>(B26+B28)/(工业富联资产负债表!B48-工业富联资产负债表!B43-工业富联资产负债表!B68)</f>
        <v>0.13835263834839232</v>
      </c>
      <c r="D38" s="115">
        <f>(D26+D28)/(工业富联资产负债表!F48-工业富联资产负债表!F43-工业富联资产负债表!F68)</f>
        <v>0.14281404210513601</v>
      </c>
    </row>
    <row r="39" spans="1:4" ht="16">
      <c r="A39" s="90" t="s">
        <v>416</v>
      </c>
      <c r="B39" s="102">
        <f>工业富联资产负债变动表!I111/工业富联资产负债变动表!I105</f>
        <v>0.61518046150686934</v>
      </c>
    </row>
    <row r="40" spans="1:4">
      <c r="A40" s="88" t="s">
        <v>417</v>
      </c>
      <c r="B40" s="102">
        <f>B36/B35</f>
        <v>7.9854143787544588E-2</v>
      </c>
    </row>
    <row r="41" spans="1:4">
      <c r="A41" s="116" t="s">
        <v>418</v>
      </c>
    </row>
    <row r="42" spans="1:4">
      <c r="A42" s="117" t="s">
        <v>419</v>
      </c>
      <c r="B42" s="118">
        <f>B29/B26</f>
        <v>7.8029726329810142E-4</v>
      </c>
    </row>
    <row r="43" spans="1:4" s="120" customFormat="1">
      <c r="A43" s="119" t="s">
        <v>420</v>
      </c>
      <c r="B43" s="118">
        <f>(B29-B28)/B26</f>
        <v>5.186985554001327E-2</v>
      </c>
    </row>
    <row r="44" spans="1:4" s="120" customFormat="1" ht="17">
      <c r="A44" s="121" t="s">
        <v>421</v>
      </c>
      <c r="B44" s="122"/>
    </row>
    <row r="45" spans="1:4" s="120" customFormat="1">
      <c r="B45" s="118"/>
    </row>
    <row r="46" spans="1:4" s="120" customFormat="1">
      <c r="B46" s="118"/>
    </row>
    <row r="47" spans="1:4" s="120" customFormat="1" ht="16">
      <c r="A47" s="123"/>
      <c r="B47" s="118"/>
    </row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47"/>
  <sheetViews>
    <sheetView workbookViewId="0">
      <selection activeCell="B12" sqref="B12"/>
    </sheetView>
  </sheetViews>
  <sheetFormatPr baseColWidth="10" defaultColWidth="9" defaultRowHeight="15"/>
  <cols>
    <col min="1" max="1" width="40.5" style="88" customWidth="1"/>
    <col min="2" max="2" width="17.6640625" style="88" bestFit="1" customWidth="1"/>
    <col min="3" max="3" width="1.33203125" style="88" customWidth="1"/>
    <col min="4" max="4" width="16.6640625" style="88" bestFit="1" customWidth="1"/>
    <col min="5" max="5" width="15.1640625" style="88" bestFit="1" customWidth="1"/>
    <col min="6" max="6" width="12.6640625" style="88" bestFit="1" customWidth="1"/>
    <col min="7" max="7" width="16.6640625" style="88" bestFit="1" customWidth="1"/>
    <col min="8" max="8" width="16.33203125" style="88" bestFit="1" customWidth="1"/>
    <col min="9" max="16384" width="9" style="88"/>
  </cols>
  <sheetData>
    <row r="1" spans="1:9" s="87" customFormat="1">
      <c r="A1" s="87" t="s">
        <v>512</v>
      </c>
      <c r="B1" s="87" t="s">
        <v>366</v>
      </c>
      <c r="E1" s="87" t="s">
        <v>366</v>
      </c>
    </row>
    <row r="2" spans="1:9">
      <c r="A2" s="88" t="s">
        <v>367</v>
      </c>
      <c r="B2" s="89">
        <f>工业富联资产负债变动表!J97</f>
        <v>21434308000</v>
      </c>
      <c r="D2" s="88" t="s">
        <v>368</v>
      </c>
      <c r="E2" s="89">
        <f>工业富联资产负债变动表!J102</f>
        <v>18600683000</v>
      </c>
    </row>
    <row r="3" spans="1:9" ht="16">
      <c r="A3" s="88" t="s">
        <v>369</v>
      </c>
      <c r="B3" s="89">
        <f>工业富联资产负债变动表!J98</f>
        <v>-2947655000</v>
      </c>
      <c r="D3" s="90" t="s">
        <v>370</v>
      </c>
      <c r="E3" s="89">
        <f>工业富联资产负债变动表!J103</f>
        <v>-97464000</v>
      </c>
    </row>
    <row r="4" spans="1:9">
      <c r="A4" s="88" t="s">
        <v>371</v>
      </c>
      <c r="B4" s="89">
        <f>工业富联资产负债变动表!J100</f>
        <v>39215714000</v>
      </c>
      <c r="E4" s="89"/>
    </row>
    <row r="5" spans="1:9">
      <c r="A5" s="88" t="s">
        <v>372</v>
      </c>
      <c r="B5" s="89">
        <f>工业富联资产负债变动表!J99</f>
        <v>13296393000</v>
      </c>
      <c r="G5" s="91" t="s">
        <v>373</v>
      </c>
      <c r="H5" s="91" t="s">
        <v>374</v>
      </c>
    </row>
    <row r="6" spans="1:9">
      <c r="A6" s="88" t="s">
        <v>375</v>
      </c>
      <c r="B6" s="89">
        <f>工业富联资产负债变动表!J101</f>
        <v>-3076000</v>
      </c>
      <c r="E6" s="89"/>
      <c r="F6" s="88" t="s">
        <v>330</v>
      </c>
      <c r="G6" s="92">
        <f>工业富联现金流量表!R35</f>
        <v>37684142000</v>
      </c>
      <c r="H6" s="93">
        <f>G6-G10</f>
        <v>70001436600</v>
      </c>
    </row>
    <row r="7" spans="1:9">
      <c r="A7" s="88" t="s">
        <v>376</v>
      </c>
      <c r="B7" s="89">
        <f>工业富联资产负债变动表!J25+工业富联资产负债变动表!J26+工业富联资产负债变动表!J27</f>
        <v>702103000</v>
      </c>
      <c r="D7" s="88" t="s">
        <v>377</v>
      </c>
      <c r="E7" s="89">
        <f>工业富联资产负债变动表!J70</f>
        <v>7096943000</v>
      </c>
    </row>
    <row r="8" spans="1:9">
      <c r="A8" s="88" t="s">
        <v>378</v>
      </c>
      <c r="B8" s="89">
        <f>工业富联资产负债变动表!J28</f>
        <v>62982000</v>
      </c>
      <c r="D8" s="88" t="s">
        <v>379</v>
      </c>
      <c r="E8" s="89">
        <f>工业富联资产负债变动表!J71</f>
        <v>0</v>
      </c>
      <c r="F8" s="94"/>
    </row>
    <row r="9" spans="1:9">
      <c r="A9" s="88" t="s">
        <v>380</v>
      </c>
      <c r="B9" s="89">
        <f>工业富联资产负债变动表!J29</f>
        <v>6786083000</v>
      </c>
      <c r="D9" s="88" t="s">
        <v>381</v>
      </c>
      <c r="E9" s="89">
        <f>工业富联资产负债变动表!J81-工业富联资产负债变动表!J70-工业富联资产负债变动表!J71</f>
        <v>1695662000</v>
      </c>
      <c r="F9" s="88" t="s">
        <v>329</v>
      </c>
      <c r="G9" s="89">
        <f>工业富联资产负债变动表!J105</f>
        <v>97159983000</v>
      </c>
      <c r="I9" s="88" t="s">
        <v>382</v>
      </c>
    </row>
    <row r="10" spans="1:9" ht="16">
      <c r="A10" s="88" t="s">
        <v>383</v>
      </c>
      <c r="B10" s="89">
        <f>工业富联资产负债变动表!J30</f>
        <v>0</v>
      </c>
      <c r="E10" s="89"/>
      <c r="F10" s="88" t="s">
        <v>330</v>
      </c>
      <c r="G10" s="95">
        <f>工业富联资产负债变动表!J106</f>
        <v>-32317294600</v>
      </c>
      <c r="H10" s="96">
        <f>SUM(G9:G10)</f>
        <v>64842688400</v>
      </c>
      <c r="I10" s="97">
        <f>-G10/G9</f>
        <v>0.33261939331545581</v>
      </c>
    </row>
    <row r="11" spans="1:9" ht="16">
      <c r="A11" s="88" t="s">
        <v>384</v>
      </c>
      <c r="B11" s="89">
        <f>工业富联资产负债变动表!J32+工业富联资产负债变动表!J33+工业富联资产负债变动表!J35+工业富联资产负债变动表!J36</f>
        <v>12122477000</v>
      </c>
      <c r="E11" s="89"/>
      <c r="F11" s="90" t="s">
        <v>385</v>
      </c>
      <c r="G11" s="89">
        <f>工业富联资产负债变动表!J107</f>
        <v>0</v>
      </c>
    </row>
    <row r="12" spans="1:9">
      <c r="A12" s="88" t="s">
        <v>386</v>
      </c>
      <c r="B12" s="89">
        <f>工业富联资产负债变动表!J37+工业富联资产负债变动表!J38+工业富联资产负债变动表!J39+工业富联资产负债变动表!J40</f>
        <v>1571141000</v>
      </c>
      <c r="E12" s="89"/>
      <c r="F12" s="88" t="s">
        <v>387</v>
      </c>
      <c r="G12" s="89">
        <f>工业富联现金流量表!R28-G11</f>
        <v>1517216000</v>
      </c>
    </row>
    <row r="13" spans="1:9">
      <c r="A13" s="88" t="s">
        <v>388</v>
      </c>
      <c r="B13" s="89">
        <f>工业富联资产负债变动表!J41</f>
        <v>807430000</v>
      </c>
      <c r="E13" s="89"/>
      <c r="F13" s="88" t="s">
        <v>389</v>
      </c>
      <c r="G13" s="96">
        <f>G14-G10-G11-G9-G12</f>
        <v>1532914600</v>
      </c>
      <c r="H13" s="98"/>
    </row>
    <row r="14" spans="1:9">
      <c r="A14" s="88" t="s">
        <v>390</v>
      </c>
      <c r="B14" s="89">
        <f>工业富联资产负债变动表!J42</f>
        <v>0</v>
      </c>
      <c r="D14" s="88" t="s">
        <v>391</v>
      </c>
      <c r="E14" s="89">
        <f>工业富联资产负债变动表!J92</f>
        <v>67892819000</v>
      </c>
      <c r="G14" s="89">
        <f>E14</f>
        <v>67892819000</v>
      </c>
      <c r="H14" s="89"/>
    </row>
    <row r="15" spans="1:9">
      <c r="A15" s="88" t="s">
        <v>392</v>
      </c>
      <c r="B15" s="89">
        <f>工业富联资产负债变动表!J43</f>
        <v>310153000</v>
      </c>
      <c r="E15" s="89"/>
      <c r="G15" s="89"/>
      <c r="H15" s="89"/>
    </row>
    <row r="16" spans="1:9">
      <c r="A16" s="88" t="s">
        <v>393</v>
      </c>
      <c r="B16" s="89">
        <f>工业富联资产负债变动表!J44+工业富联资产负债变动表!J45+工业富联资产负债变动表!J46</f>
        <v>2188466000</v>
      </c>
      <c r="D16" s="88" t="s">
        <v>394</v>
      </c>
      <c r="E16" s="89">
        <f>工业富联资产负债变动表!J93</f>
        <v>357876000</v>
      </c>
    </row>
    <row r="17" spans="1:7" ht="16" thickBot="1">
      <c r="A17" s="88" t="s">
        <v>395</v>
      </c>
      <c r="B17" s="99">
        <f>SUM(B2:B16)</f>
        <v>95546519000</v>
      </c>
      <c r="D17" s="88" t="s">
        <v>395</v>
      </c>
      <c r="E17" s="99">
        <f>SUM(E2:E16)</f>
        <v>95546519000</v>
      </c>
    </row>
    <row r="18" spans="1:7">
      <c r="E18" s="89">
        <f>B17-E17</f>
        <v>0</v>
      </c>
    </row>
    <row r="19" spans="1:7" ht="16">
      <c r="A19" s="88" t="s">
        <v>396</v>
      </c>
      <c r="B19" s="100">
        <f>B3+B4</f>
        <v>36268059000</v>
      </c>
      <c r="D19" s="101" t="s">
        <v>397</v>
      </c>
      <c r="E19" s="89">
        <f>G9</f>
        <v>97159983000</v>
      </c>
      <c r="F19" s="102">
        <f>B19/E19</f>
        <v>0.37328185823169607</v>
      </c>
    </row>
    <row r="20" spans="1:7">
      <c r="A20" s="88" t="s">
        <v>384</v>
      </c>
      <c r="B20" s="89">
        <f>B11</f>
        <v>12122477000</v>
      </c>
      <c r="D20" s="101" t="s">
        <v>397</v>
      </c>
      <c r="E20" s="89">
        <f>E19</f>
        <v>97159983000</v>
      </c>
      <c r="F20" s="102">
        <f>B20/E20</f>
        <v>0.12476820832708461</v>
      </c>
    </row>
    <row r="21" spans="1:7">
      <c r="A21" s="124" t="s">
        <v>422</v>
      </c>
      <c r="B21" s="89">
        <f>(E20-B20)/5</f>
        <v>17007501200</v>
      </c>
      <c r="D21" s="103" t="s">
        <v>399</v>
      </c>
      <c r="E21" s="103"/>
      <c r="F21" s="104">
        <f>B21/(B26/B30)</f>
        <v>0.11693793974884724</v>
      </c>
    </row>
    <row r="23" spans="1:7" s="91" customFormat="1" ht="16">
      <c r="B23" s="105" t="s">
        <v>400</v>
      </c>
      <c r="D23" s="91" t="s">
        <v>401</v>
      </c>
      <c r="E23" s="91" t="s">
        <v>402</v>
      </c>
    </row>
    <row r="24" spans="1:7" ht="16">
      <c r="A24" s="88" t="s">
        <v>582</v>
      </c>
      <c r="B24" s="100">
        <f>SUM(工业富联利润表!B40:E40)</f>
        <v>489139526000</v>
      </c>
      <c r="D24" s="100">
        <f>SUM(工业富联利润表!F40:I40)</f>
        <v>512675653000</v>
      </c>
      <c r="E24" s="102">
        <f t="shared" ref="E24:E29" si="0">B24/D24-1</f>
        <v>-4.5908415705475325E-2</v>
      </c>
      <c r="G24" s="106"/>
    </row>
    <row r="25" spans="1:7" ht="16">
      <c r="A25" s="88" t="s">
        <v>404</v>
      </c>
      <c r="B25" s="100">
        <f>SUM(工业富联利润表!B42:E42)</f>
        <v>449493014000</v>
      </c>
      <c r="D25" s="100">
        <f>SUM(工业富联利润表!F42:I42)</f>
        <v>474822792000</v>
      </c>
      <c r="E25" s="102">
        <f t="shared" si="0"/>
        <v>-5.334575009196274E-2</v>
      </c>
    </row>
    <row r="26" spans="1:7" ht="16">
      <c r="A26" s="90" t="s">
        <v>405</v>
      </c>
      <c r="B26" s="100">
        <f>SUM(工业富联利润表!B60:E60)</f>
        <v>22096707000</v>
      </c>
      <c r="D26" s="100">
        <f>SUM(工业富联利润表!F60:I60)</f>
        <v>19945655000</v>
      </c>
      <c r="E26" s="107">
        <f t="shared" si="0"/>
        <v>0.10784564357500415</v>
      </c>
    </row>
    <row r="27" spans="1:7" ht="16">
      <c r="A27" s="88" t="s">
        <v>406</v>
      </c>
      <c r="B27" s="100">
        <f>工业富联现金流量表!B13+工业富联现金流量表!C13-工业富联现金流量表!F13</f>
        <v>27444725000</v>
      </c>
      <c r="D27" s="100">
        <f>工业富联现金流量表!F13+工业富联现金流量表!G13-工业富联现金流量表!J13</f>
        <v>34453003000</v>
      </c>
      <c r="E27" s="102">
        <f t="shared" si="0"/>
        <v>-0.20341559195870385</v>
      </c>
    </row>
    <row r="28" spans="1:7" ht="16">
      <c r="A28" s="88" t="s">
        <v>407</v>
      </c>
      <c r="B28" s="100">
        <f>SUM(工业富联利润表!B46:E46)</f>
        <v>-1128911000</v>
      </c>
      <c r="D28" s="100">
        <f>SUM(工业富联利润表!F46:I46)</f>
        <v>-201970000</v>
      </c>
      <c r="E28" s="102">
        <f t="shared" si="0"/>
        <v>4.5894984403624299</v>
      </c>
    </row>
    <row r="29" spans="1:7" ht="16">
      <c r="A29" s="88" t="s">
        <v>408</v>
      </c>
      <c r="B29" s="100">
        <f>SUM(工业富联利润表!B50:E50)</f>
        <v>17242000</v>
      </c>
      <c r="D29" s="100">
        <f>SUM(工业富联利润表!F50:I50)</f>
        <v>-508405000</v>
      </c>
      <c r="E29" s="102">
        <f t="shared" si="0"/>
        <v>-1.0339139072196379</v>
      </c>
    </row>
    <row r="30" spans="1:7" ht="16">
      <c r="A30" s="88" t="s">
        <v>349</v>
      </c>
      <c r="B30" s="108">
        <f>B26/工业富联资产负债表!B92</f>
        <v>0.15192963160360859</v>
      </c>
      <c r="C30" s="109"/>
      <c r="D30" s="20">
        <f>D26/工业富联资产负债表!F92</f>
        <v>0.15090966295689001</v>
      </c>
    </row>
    <row r="31" spans="1:7">
      <c r="A31" s="88" t="s">
        <v>409</v>
      </c>
      <c r="B31" s="89">
        <f>B24-B25</f>
        <v>39646512000</v>
      </c>
      <c r="D31" s="89">
        <f>D24-D25</f>
        <v>37852861000</v>
      </c>
    </row>
    <row r="32" spans="1:7">
      <c r="A32" s="88" t="s">
        <v>410</v>
      </c>
      <c r="B32" s="102">
        <f>B31/B24</f>
        <v>8.1053584698448602E-2</v>
      </c>
      <c r="D32" s="102">
        <f>D31/D24</f>
        <v>7.383393531270345E-2</v>
      </c>
    </row>
    <row r="33" spans="1:4">
      <c r="A33" s="88" t="s">
        <v>411</v>
      </c>
      <c r="B33" s="102">
        <f>B26/B24</f>
        <v>4.5174650228532134E-2</v>
      </c>
      <c r="D33" s="102">
        <f>D26/D24</f>
        <v>3.8905017008872861E-2</v>
      </c>
    </row>
    <row r="34" spans="1:4">
      <c r="A34" s="88" t="s">
        <v>412</v>
      </c>
      <c r="B34" s="110">
        <f>B24/工业富联资产负债表!B95</f>
        <v>1.7676759727761879</v>
      </c>
      <c r="D34" s="110">
        <f>D24/工业富联资产负债表!F95</f>
        <v>1.990107770792747</v>
      </c>
    </row>
    <row r="35" spans="1:4">
      <c r="A35" s="88" t="s">
        <v>413</v>
      </c>
      <c r="B35" s="111">
        <f>工业富联资产负债表!B95/工业富联资产负债表!B92</f>
        <v>1.9025892007285679</v>
      </c>
      <c r="D35" s="111">
        <f>工业富联资产负债表!F95/工业富联资产负债表!F92</f>
        <v>1.9491032431975117</v>
      </c>
    </row>
    <row r="36" spans="1:4">
      <c r="A36" s="88" t="s">
        <v>414</v>
      </c>
      <c r="B36" s="102">
        <f>B33*B34*B35</f>
        <v>0.15192963160360859</v>
      </c>
      <c r="D36" s="102">
        <f>D33*D34*D35</f>
        <v>0.15090966295689004</v>
      </c>
    </row>
    <row r="37" spans="1:4">
      <c r="A37" s="112" t="s">
        <v>350</v>
      </c>
      <c r="B37" s="113">
        <f>工业富联资产负债表!B97</f>
        <v>0.4716725296173106</v>
      </c>
      <c r="D37" s="113">
        <f>工业富联资产负债表!F97</f>
        <v>0.48428203491525951</v>
      </c>
    </row>
    <row r="38" spans="1:4">
      <c r="A38" s="88" t="s">
        <v>415</v>
      </c>
      <c r="B38" s="114">
        <f>(B26+B28)/(工业富联资产负债表!B48-工业富联资产负债表!B43-工业富联资产负债表!B68)</f>
        <v>0.13835263834839232</v>
      </c>
      <c r="D38" s="115">
        <f>(D26+D28)/(工业富联资产负债表!F48-工业富联资产负债表!F43-工业富联资产负债表!F68)</f>
        <v>0.14281404210513601</v>
      </c>
    </row>
    <row r="39" spans="1:4" ht="16">
      <c r="A39" s="90" t="s">
        <v>423</v>
      </c>
      <c r="B39" s="102">
        <f>工业富联资产负债变动表!J111/工业富联资产负债变动表!J105</f>
        <v>0.62671814176830398</v>
      </c>
    </row>
    <row r="40" spans="1:4">
      <c r="A40" s="88" t="s">
        <v>417</v>
      </c>
      <c r="B40" s="102">
        <f>B36/B35</f>
        <v>7.9854143787544588E-2</v>
      </c>
    </row>
    <row r="41" spans="1:4">
      <c r="A41" s="116" t="s">
        <v>418</v>
      </c>
    </row>
    <row r="42" spans="1:4">
      <c r="A42" s="117" t="s">
        <v>419</v>
      </c>
      <c r="B42" s="118">
        <f>B29/B26</f>
        <v>7.8029726329810142E-4</v>
      </c>
    </row>
    <row r="43" spans="1:4" s="120" customFormat="1">
      <c r="A43" s="119" t="s">
        <v>420</v>
      </c>
      <c r="B43" s="118">
        <f>(B29-B28)/B26</f>
        <v>5.186985554001327E-2</v>
      </c>
    </row>
    <row r="44" spans="1:4" s="120" customFormat="1" ht="17">
      <c r="A44" s="121" t="s">
        <v>424</v>
      </c>
      <c r="B44" s="122"/>
    </row>
    <row r="45" spans="1:4" s="120" customFormat="1">
      <c r="B45" s="118"/>
    </row>
    <row r="46" spans="1:4" s="120" customFormat="1">
      <c r="B46" s="118"/>
    </row>
    <row r="47" spans="1:4" s="120" customFormat="1" ht="16">
      <c r="A47" s="123"/>
      <c r="B47" s="118"/>
    </row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47"/>
  <sheetViews>
    <sheetView workbookViewId="0">
      <selection activeCell="B105" sqref="B105"/>
    </sheetView>
  </sheetViews>
  <sheetFormatPr baseColWidth="10" defaultColWidth="9" defaultRowHeight="15"/>
  <cols>
    <col min="1" max="1" width="40.5" style="88" customWidth="1"/>
    <col min="2" max="2" width="17.6640625" style="88" bestFit="1" customWidth="1"/>
    <col min="3" max="3" width="1.33203125" style="88" customWidth="1"/>
    <col min="4" max="4" width="16.6640625" style="88" bestFit="1" customWidth="1"/>
    <col min="5" max="5" width="15.1640625" style="88" bestFit="1" customWidth="1"/>
    <col min="6" max="6" width="11" style="88" customWidth="1"/>
    <col min="7" max="8" width="16.6640625" style="88" bestFit="1" customWidth="1"/>
    <col min="9" max="16384" width="9" style="88"/>
  </cols>
  <sheetData>
    <row r="1" spans="1:9" s="87" customFormat="1">
      <c r="A1" s="87" t="str">
        <f>资产变化路径表7年!A1</f>
        <v>2017/1/1-2023/12/31（7年）</v>
      </c>
      <c r="B1" s="87" t="s">
        <v>366</v>
      </c>
      <c r="E1" s="87" t="s">
        <v>366</v>
      </c>
    </row>
    <row r="2" spans="1:9">
      <c r="A2" s="88" t="s">
        <v>367</v>
      </c>
      <c r="B2" s="125">
        <f>资产变化路径表7年!B2/100000000</f>
        <v>801.39832000000001</v>
      </c>
      <c r="D2" s="88" t="s">
        <v>368</v>
      </c>
      <c r="E2" s="126">
        <f>资产变化路径表7年!E2/100000000</f>
        <v>394.47980999999999</v>
      </c>
    </row>
    <row r="3" spans="1:9" ht="16">
      <c r="A3" s="88" t="s">
        <v>369</v>
      </c>
      <c r="B3" s="125">
        <f>资产变化路径表7年!B3/100000000</f>
        <v>18.776540000000001</v>
      </c>
      <c r="D3" s="90" t="s">
        <v>370</v>
      </c>
      <c r="E3" s="89">
        <f>资产变化路径表7年!E3/100000000</f>
        <v>-3.2492999999999999</v>
      </c>
    </row>
    <row r="4" spans="1:9">
      <c r="A4" s="88" t="s">
        <v>371</v>
      </c>
      <c r="B4" s="126">
        <f>资产变化路径表7年!B4/100000000</f>
        <v>481.21908999999999</v>
      </c>
      <c r="E4" s="89"/>
    </row>
    <row r="5" spans="1:9">
      <c r="A5" s="88" t="s">
        <v>372</v>
      </c>
      <c r="B5" s="179">
        <f>资产变化路径表7年!B5/100000000</f>
        <v>-371.36809</v>
      </c>
    </row>
    <row r="6" spans="1:9">
      <c r="A6" s="88" t="s">
        <v>375</v>
      </c>
      <c r="B6" s="89">
        <f>资产变化路径表7年!B6/100000000</f>
        <v>-33.664929999999998</v>
      </c>
      <c r="E6" s="89"/>
    </row>
    <row r="7" spans="1:9">
      <c r="A7" s="88" t="s">
        <v>376</v>
      </c>
      <c r="B7" s="89">
        <f>资产变化路径表7年!B7/100000000</f>
        <v>6.9647100000000002</v>
      </c>
      <c r="D7" s="88" t="s">
        <v>377</v>
      </c>
      <c r="E7" s="126">
        <f>资产变化路径表7年!E7/100000000</f>
        <v>70.969430000000003</v>
      </c>
    </row>
    <row r="8" spans="1:9">
      <c r="A8" s="88" t="s">
        <v>378</v>
      </c>
      <c r="B8" s="179">
        <f>资产变化路径表7年!B8/100000000</f>
        <v>0.62982000000000005</v>
      </c>
      <c r="D8" s="88" t="s">
        <v>379</v>
      </c>
      <c r="E8" s="89">
        <f>资产变化路径表7年!E8/100000000</f>
        <v>0</v>
      </c>
      <c r="F8" s="94"/>
    </row>
    <row r="9" spans="1:9">
      <c r="A9" s="88" t="s">
        <v>380</v>
      </c>
      <c r="B9" s="125">
        <f>资产变化路径表7年!B9/100000000</f>
        <v>71.422470000000004</v>
      </c>
      <c r="D9" s="88" t="s">
        <v>381</v>
      </c>
      <c r="E9" s="126">
        <f>资产变化路径表7年!E9/100000000</f>
        <v>17.436540000000001</v>
      </c>
      <c r="F9" s="88" t="s">
        <v>329</v>
      </c>
      <c r="G9" s="89">
        <f>资产变化路径表7年!G9/100000000</f>
        <v>1299.2989700000001</v>
      </c>
      <c r="I9" s="88" t="s">
        <v>382</v>
      </c>
    </row>
    <row r="10" spans="1:9" ht="16">
      <c r="A10" s="88" t="s">
        <v>383</v>
      </c>
      <c r="B10" s="89">
        <f>资产变化路径表7年!B10/100000000</f>
        <v>-0.19819999999999999</v>
      </c>
      <c r="E10" s="89"/>
      <c r="F10" s="88" t="s">
        <v>330</v>
      </c>
      <c r="G10" s="89">
        <f>资产变化路径表7年!G10/100000000</f>
        <v>-323.17294600000002</v>
      </c>
      <c r="H10" s="127">
        <f>SUM(G9:G10)</f>
        <v>976.12602400000003</v>
      </c>
      <c r="I10" s="128">
        <f>-G10/G9</f>
        <v>0.24872870175522421</v>
      </c>
    </row>
    <row r="11" spans="1:9" ht="16">
      <c r="A11" s="88" t="s">
        <v>384</v>
      </c>
      <c r="B11" s="125">
        <f>资产变化路径表7年!B11/100000000</f>
        <v>83.147260000000003</v>
      </c>
      <c r="E11" s="89"/>
      <c r="F11" s="90" t="s">
        <v>385</v>
      </c>
      <c r="G11" s="179">
        <f>资产变化路径表7年!G11/100000000</f>
        <v>267.22899999999998</v>
      </c>
    </row>
    <row r="12" spans="1:9">
      <c r="A12" s="88" t="s">
        <v>386</v>
      </c>
      <c r="B12" s="179">
        <f>资产变化路径表7年!B12/100000000</f>
        <v>15.711410000000001</v>
      </c>
      <c r="E12" s="89"/>
      <c r="F12" s="88" t="s">
        <v>387</v>
      </c>
      <c r="G12" s="179">
        <f>资产变化路径表7年!G12/100000000</f>
        <v>38.088889999999999</v>
      </c>
    </row>
    <row r="13" spans="1:9">
      <c r="A13" s="88" t="s">
        <v>388</v>
      </c>
      <c r="B13" s="179">
        <f>资产变化路径表7年!B13/100000000</f>
        <v>7.6006299999999998</v>
      </c>
      <c r="E13" s="89"/>
      <c r="F13" s="88" t="s">
        <v>389</v>
      </c>
      <c r="G13" s="180">
        <f>资产变化路径表7年!G13/100000000</f>
        <v>-652.60022400000003</v>
      </c>
      <c r="H13" s="98" t="s">
        <v>425</v>
      </c>
    </row>
    <row r="14" spans="1:9">
      <c r="A14" s="88" t="s">
        <v>390</v>
      </c>
      <c r="B14" s="89">
        <f>资产变化路径表7年!B14/100000000</f>
        <v>0</v>
      </c>
      <c r="D14" s="88" t="s">
        <v>391</v>
      </c>
      <c r="E14" s="89">
        <f>资产变化路径表7年!E14/100000000</f>
        <v>628.84369000000004</v>
      </c>
      <c r="G14" s="89">
        <f>E14</f>
        <v>628.84369000000004</v>
      </c>
      <c r="H14" s="89">
        <f>E14-G14</f>
        <v>0</v>
      </c>
    </row>
    <row r="15" spans="1:9">
      <c r="A15" s="88" t="s">
        <v>392</v>
      </c>
      <c r="B15" s="126">
        <f>资产变化路径表7年!B15/100000000</f>
        <v>3.1015299999999999</v>
      </c>
      <c r="E15" s="89"/>
      <c r="G15" s="89"/>
      <c r="H15" s="89"/>
    </row>
    <row r="16" spans="1:9">
      <c r="A16" s="88" t="s">
        <v>393</v>
      </c>
      <c r="B16" s="89">
        <f>资产变化路径表7年!B16/100000000</f>
        <v>25.622890000000002</v>
      </c>
      <c r="D16" s="88" t="s">
        <v>394</v>
      </c>
      <c r="E16" s="89">
        <f>资产变化路径表7年!E16/100000000</f>
        <v>1.8832800000000001</v>
      </c>
    </row>
    <row r="17" spans="1:7" ht="16" thickBot="1">
      <c r="A17" s="88" t="s">
        <v>395</v>
      </c>
      <c r="B17" s="99">
        <f>SUM(B2:B16)</f>
        <v>1110.3634499999998</v>
      </c>
      <c r="D17" s="88" t="s">
        <v>395</v>
      </c>
      <c r="E17" s="99">
        <f>SUM(E2:E16)</f>
        <v>1110.3634500000001</v>
      </c>
    </row>
    <row r="18" spans="1:7">
      <c r="E18" s="89">
        <f>B17-E17</f>
        <v>0</v>
      </c>
    </row>
    <row r="19" spans="1:7" ht="16">
      <c r="A19" s="88" t="s">
        <v>396</v>
      </c>
      <c r="B19" s="129">
        <f>B3+B4</f>
        <v>499.99563000000001</v>
      </c>
      <c r="D19" s="101" t="s">
        <v>397</v>
      </c>
      <c r="E19" s="89">
        <f>G9</f>
        <v>1299.2989700000001</v>
      </c>
      <c r="F19" s="130">
        <f>B19/E19</f>
        <v>0.38481953849313061</v>
      </c>
    </row>
    <row r="20" spans="1:7">
      <c r="A20" s="88" t="s">
        <v>384</v>
      </c>
      <c r="B20" s="89">
        <f>B11</f>
        <v>83.147260000000003</v>
      </c>
      <c r="D20" s="101" t="s">
        <v>397</v>
      </c>
      <c r="E20" s="89">
        <f>E19</f>
        <v>1299.2989700000001</v>
      </c>
      <c r="F20" s="130">
        <f>B20/E20</f>
        <v>6.3993939747370082E-2</v>
      </c>
    </row>
    <row r="23" spans="1:7" s="91" customFormat="1" ht="16">
      <c r="A23" s="131" t="s">
        <v>354</v>
      </c>
      <c r="B23" s="105" t="str">
        <f>资产变化路径表7年!B23</f>
        <v>TTM（至2024Q1)</v>
      </c>
      <c r="D23" s="91" t="str">
        <f>资产变化路径表7年!D23</f>
        <v>TTM（至2023Q1)</v>
      </c>
      <c r="E23" s="91" t="s">
        <v>402</v>
      </c>
    </row>
    <row r="24" spans="1:7" ht="16">
      <c r="A24" s="90" t="s">
        <v>403</v>
      </c>
      <c r="B24" s="129">
        <f>资产变化路径表7年!B24/100000000</f>
        <v>4891.3952600000002</v>
      </c>
      <c r="D24" s="129">
        <f>资产变化路径表7年!D24/100000000</f>
        <v>5126.7565299999997</v>
      </c>
      <c r="E24" s="130">
        <f t="shared" ref="E24:E29" si="0">B24/D24-1</f>
        <v>-4.5908415705475214E-2</v>
      </c>
      <c r="G24" s="106"/>
    </row>
    <row r="25" spans="1:7" ht="16">
      <c r="A25" s="88" t="s">
        <v>404</v>
      </c>
      <c r="B25" s="129">
        <f>资产变化路径表7年!B25/100000000</f>
        <v>4494.9301400000004</v>
      </c>
      <c r="D25" s="129">
        <f>资产变化路径表7年!D25/100000000</f>
        <v>4748.2279200000003</v>
      </c>
      <c r="E25" s="130">
        <f t="shared" si="0"/>
        <v>-5.334575009196274E-2</v>
      </c>
    </row>
    <row r="26" spans="1:7" ht="16">
      <c r="A26" s="90" t="s">
        <v>405</v>
      </c>
      <c r="B26" s="129">
        <f>资产变化路径表7年!B26/100000000</f>
        <v>220.96707000000001</v>
      </c>
      <c r="D26" s="129">
        <f>资产变化路径表7年!D26/100000000</f>
        <v>199.45654999999999</v>
      </c>
      <c r="E26" s="130">
        <f t="shared" si="0"/>
        <v>0.10784564357500415</v>
      </c>
    </row>
    <row r="27" spans="1:7" ht="16">
      <c r="A27" s="88" t="s">
        <v>406</v>
      </c>
      <c r="B27" s="129">
        <f>资产变化路径表7年!B27/100000000</f>
        <v>274.44725</v>
      </c>
      <c r="D27" s="129">
        <f>资产变化路径表7年!D27/100000000</f>
        <v>344.53003000000001</v>
      </c>
      <c r="E27" s="130">
        <f t="shared" si="0"/>
        <v>-0.20341559195870385</v>
      </c>
    </row>
    <row r="28" spans="1:7" ht="16">
      <c r="A28" s="88" t="s">
        <v>407</v>
      </c>
      <c r="B28" s="129">
        <f>资产变化路径表7年!B28/100000000</f>
        <v>-11.289110000000001</v>
      </c>
      <c r="D28" s="129">
        <f>资产变化路径表7年!D28/100000000</f>
        <v>-2.0196999999999998</v>
      </c>
      <c r="E28" s="130">
        <f t="shared" si="0"/>
        <v>4.5894984403624308</v>
      </c>
    </row>
    <row r="29" spans="1:7" ht="16">
      <c r="A29" s="88" t="s">
        <v>408</v>
      </c>
      <c r="B29" s="129">
        <f>资产变化路径表7年!B29/100000000</f>
        <v>0.17241999999999999</v>
      </c>
      <c r="D29" s="129">
        <f>资产变化路径表7年!D29/100000000</f>
        <v>-5.0840500000000004</v>
      </c>
      <c r="E29" s="130">
        <f t="shared" si="0"/>
        <v>-1.0339139072196379</v>
      </c>
    </row>
    <row r="30" spans="1:7" ht="16">
      <c r="A30" s="88" t="s">
        <v>349</v>
      </c>
      <c r="B30" s="132">
        <f>资产变化路径表7年!B30</f>
        <v>0.15192963160360859</v>
      </c>
      <c r="C30" s="133"/>
      <c r="D30" s="132">
        <f>资产变化路径表7年!D30</f>
        <v>0.15090966295689001</v>
      </c>
    </row>
    <row r="31" spans="1:7">
      <c r="A31" s="88" t="s">
        <v>409</v>
      </c>
      <c r="B31" s="89">
        <f>B24-B25</f>
        <v>396.46511999999984</v>
      </c>
      <c r="D31" s="89">
        <f>D24-D25</f>
        <v>378.52860999999939</v>
      </c>
    </row>
    <row r="32" spans="1:7">
      <c r="A32" s="88" t="s">
        <v>410</v>
      </c>
      <c r="B32" s="130">
        <f>资产变化路径表7年!B32</f>
        <v>8.1053584698448602E-2</v>
      </c>
      <c r="D32" s="130">
        <f>资产变化路径表7年!D32</f>
        <v>7.383393531270345E-2</v>
      </c>
    </row>
    <row r="33" spans="1:4">
      <c r="A33" s="88" t="s">
        <v>411</v>
      </c>
      <c r="B33" s="130">
        <f>资产变化路径表7年!B33</f>
        <v>4.5174650228532134E-2</v>
      </c>
      <c r="D33" s="130">
        <f>资产变化路径表7年!D33</f>
        <v>3.8905017008872861E-2</v>
      </c>
    </row>
    <row r="34" spans="1:4">
      <c r="A34" s="88" t="s">
        <v>412</v>
      </c>
      <c r="B34" s="110">
        <f>资产变化路径表7年!B34</f>
        <v>1.7676759727761879</v>
      </c>
      <c r="D34" s="110">
        <f>资产变化路径表7年!D34</f>
        <v>1.990107770792747</v>
      </c>
    </row>
    <row r="35" spans="1:4">
      <c r="A35" s="88" t="s">
        <v>413</v>
      </c>
      <c r="B35" s="134">
        <f>资产变化路径表7年!B35</f>
        <v>1.9025892007285679</v>
      </c>
      <c r="D35" s="134">
        <f>资产变化路径表7年!D35</f>
        <v>1.9491032431975117</v>
      </c>
    </row>
    <row r="36" spans="1:4">
      <c r="A36" s="88" t="s">
        <v>414</v>
      </c>
      <c r="B36" s="130">
        <f>资产变化路径表7年!B36</f>
        <v>0.15192963160360859</v>
      </c>
      <c r="D36" s="130">
        <f>资产变化路径表7年!D36</f>
        <v>0.15090966295689004</v>
      </c>
    </row>
    <row r="37" spans="1:4">
      <c r="A37" s="112" t="s">
        <v>350</v>
      </c>
      <c r="B37" s="113">
        <f>资产变化路径表7年!B37</f>
        <v>0.4716725296173106</v>
      </c>
      <c r="D37" s="113">
        <f>资产变化路径表7年!D37</f>
        <v>0.48428203491525951</v>
      </c>
    </row>
    <row r="38" spans="1:4">
      <c r="A38" s="88" t="s">
        <v>415</v>
      </c>
      <c r="B38" s="130">
        <f>资产变化路径表7年!B38</f>
        <v>0.13835263834839232</v>
      </c>
      <c r="D38" s="133">
        <f>资产变化路径表7年!D38</f>
        <v>0.14281404210513601</v>
      </c>
    </row>
    <row r="39" spans="1:4" ht="16">
      <c r="A39" s="90" t="s">
        <v>426</v>
      </c>
      <c r="B39" s="130">
        <f>资产变化路径表7年!B39</f>
        <v>0.61518046150686934</v>
      </c>
    </row>
    <row r="40" spans="1:4">
      <c r="A40" s="88" t="s">
        <v>417</v>
      </c>
      <c r="B40" s="130">
        <f>资产变化路径表7年!B40</f>
        <v>7.9854143787544588E-2</v>
      </c>
    </row>
    <row r="41" spans="1:4">
      <c r="A41" s="116" t="s">
        <v>418</v>
      </c>
    </row>
    <row r="42" spans="1:4">
      <c r="B42" s="113"/>
    </row>
    <row r="43" spans="1:4" s="120" customFormat="1" ht="16">
      <c r="A43" s="123"/>
      <c r="B43" s="134"/>
    </row>
    <row r="44" spans="1:4" s="120" customFormat="1" ht="16">
      <c r="A44" s="123"/>
      <c r="B44" s="134"/>
    </row>
    <row r="45" spans="1:4" s="120" customFormat="1">
      <c r="B45" s="133"/>
    </row>
    <row r="46" spans="1:4" s="120" customFormat="1">
      <c r="B46" s="133"/>
    </row>
    <row r="47" spans="1:4" s="120" customFormat="1" ht="16">
      <c r="A47" s="123"/>
      <c r="B47" s="133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47"/>
  <sheetViews>
    <sheetView workbookViewId="0">
      <selection activeCell="B105" sqref="B105"/>
    </sheetView>
  </sheetViews>
  <sheetFormatPr baseColWidth="10" defaultColWidth="9" defaultRowHeight="15"/>
  <cols>
    <col min="1" max="1" width="40.5" style="88" customWidth="1"/>
    <col min="2" max="2" width="17.6640625" style="88" bestFit="1" customWidth="1"/>
    <col min="3" max="3" width="1.33203125" style="88" customWidth="1"/>
    <col min="4" max="4" width="16.6640625" style="88" bestFit="1" customWidth="1"/>
    <col min="5" max="5" width="15.1640625" style="88" bestFit="1" customWidth="1"/>
    <col min="6" max="6" width="11" style="88" customWidth="1"/>
    <col min="7" max="8" width="16.6640625" style="88" bestFit="1" customWidth="1"/>
    <col min="9" max="16384" width="9" style="88"/>
  </cols>
  <sheetData>
    <row r="1" spans="1:9" s="87" customFormat="1">
      <c r="A1" s="87" t="str">
        <f>资产变化路径表5年!A1</f>
        <v>2019/1/1-2023/12/31（5年）</v>
      </c>
      <c r="B1" s="87" t="s">
        <v>366</v>
      </c>
      <c r="E1" s="87" t="s">
        <v>366</v>
      </c>
    </row>
    <row r="2" spans="1:9">
      <c r="A2" s="88" t="s">
        <v>367</v>
      </c>
      <c r="B2" s="89">
        <f>资产变化路径表5年!B2/100000000</f>
        <v>214.34307999999999</v>
      </c>
      <c r="D2" s="88" t="s">
        <v>368</v>
      </c>
      <c r="E2" s="89">
        <f>资产变化路径表5年!E2/100000000</f>
        <v>186.00683000000001</v>
      </c>
    </row>
    <row r="3" spans="1:9" ht="16">
      <c r="A3" s="88" t="s">
        <v>369</v>
      </c>
      <c r="B3" s="89">
        <f>资产变化路径表5年!B3/100000000</f>
        <v>-29.47655</v>
      </c>
      <c r="D3" s="90" t="s">
        <v>370</v>
      </c>
      <c r="E3" s="89">
        <f>资产变化路径表5年!E3/100000000</f>
        <v>-0.97463999999999995</v>
      </c>
    </row>
    <row r="4" spans="1:9">
      <c r="A4" s="88" t="s">
        <v>371</v>
      </c>
      <c r="B4" s="89">
        <f>资产变化路径表5年!B4/100000000</f>
        <v>392.15714000000003</v>
      </c>
      <c r="E4" s="89"/>
    </row>
    <row r="5" spans="1:9">
      <c r="A5" s="88" t="s">
        <v>372</v>
      </c>
      <c r="B5" s="89">
        <f>资产变化路径表5年!B5/100000000</f>
        <v>132.96393</v>
      </c>
    </row>
    <row r="6" spans="1:9">
      <c r="A6" s="88" t="s">
        <v>375</v>
      </c>
      <c r="B6" s="89">
        <f>资产变化路径表5年!B6/100000000</f>
        <v>-3.0759999999999999E-2</v>
      </c>
      <c r="E6" s="89"/>
    </row>
    <row r="7" spans="1:9">
      <c r="A7" s="88" t="s">
        <v>376</v>
      </c>
      <c r="B7" s="89">
        <f>资产变化路径表5年!B7/100000000</f>
        <v>7.0210299999999997</v>
      </c>
      <c r="D7" s="88" t="s">
        <v>377</v>
      </c>
      <c r="E7" s="89">
        <f>资产变化路径表5年!E7/100000000</f>
        <v>70.969430000000003</v>
      </c>
    </row>
    <row r="8" spans="1:9">
      <c r="A8" s="88" t="s">
        <v>378</v>
      </c>
      <c r="B8" s="89">
        <f>资产变化路径表5年!B8/100000000</f>
        <v>0.62982000000000005</v>
      </c>
      <c r="D8" s="88" t="s">
        <v>379</v>
      </c>
      <c r="E8" s="89">
        <f>资产变化路径表5年!E8/100000000</f>
        <v>0</v>
      </c>
      <c r="F8" s="94"/>
    </row>
    <row r="9" spans="1:9">
      <c r="A9" s="88" t="s">
        <v>380</v>
      </c>
      <c r="B9" s="89">
        <f>资产变化路径表5年!B9/100000000</f>
        <v>67.860830000000007</v>
      </c>
      <c r="D9" s="88" t="s">
        <v>381</v>
      </c>
      <c r="E9" s="89">
        <f>资产变化路径表5年!E9/100000000</f>
        <v>16.956620000000001</v>
      </c>
      <c r="F9" s="88" t="s">
        <v>329</v>
      </c>
      <c r="G9" s="89">
        <f>资产变化路径表5年!G9/100000000</f>
        <v>971.59983</v>
      </c>
      <c r="I9" s="88" t="s">
        <v>382</v>
      </c>
    </row>
    <row r="10" spans="1:9" ht="16">
      <c r="A10" s="88" t="s">
        <v>383</v>
      </c>
      <c r="B10" s="89">
        <f>资产变化路径表5年!B10/100000000</f>
        <v>0</v>
      </c>
      <c r="E10" s="89"/>
      <c r="F10" s="88" t="s">
        <v>330</v>
      </c>
      <c r="G10" s="89">
        <f>资产变化路径表5年!G10/100000000</f>
        <v>-323.17294600000002</v>
      </c>
      <c r="H10" s="96">
        <f>SUM(G9:G10)</f>
        <v>648.42688399999997</v>
      </c>
      <c r="I10" s="128">
        <f>-G10/G9</f>
        <v>0.33261939331545581</v>
      </c>
    </row>
    <row r="11" spans="1:9" ht="16">
      <c r="A11" s="88" t="s">
        <v>384</v>
      </c>
      <c r="B11" s="89">
        <f>资产变化路径表5年!B11/100000000</f>
        <v>121.22477000000001</v>
      </c>
      <c r="E11" s="89"/>
      <c r="F11" s="90" t="s">
        <v>385</v>
      </c>
      <c r="G11" s="89">
        <f>资产变化路径表5年!G11/100000000</f>
        <v>0</v>
      </c>
    </row>
    <row r="12" spans="1:9">
      <c r="A12" s="88" t="s">
        <v>386</v>
      </c>
      <c r="B12" s="89">
        <f>资产变化路径表5年!B12/100000000</f>
        <v>15.711410000000001</v>
      </c>
      <c r="E12" s="89"/>
      <c r="F12" s="88" t="s">
        <v>387</v>
      </c>
      <c r="G12" s="89">
        <f>资产变化路径表5年!G12/100000000</f>
        <v>15.17216</v>
      </c>
    </row>
    <row r="13" spans="1:9">
      <c r="A13" s="88" t="s">
        <v>388</v>
      </c>
      <c r="B13" s="89">
        <f>资产变化路径表5年!B13/100000000</f>
        <v>8.0742999999999991</v>
      </c>
      <c r="E13" s="89"/>
      <c r="F13" s="88" t="s">
        <v>389</v>
      </c>
      <c r="G13" s="96">
        <f>资产变化路径表5年!G13/100000000</f>
        <v>15.329146</v>
      </c>
      <c r="H13" s="98" t="s">
        <v>425</v>
      </c>
    </row>
    <row r="14" spans="1:9">
      <c r="A14" s="88" t="s">
        <v>390</v>
      </c>
      <c r="B14" s="89">
        <f>资产变化路径表5年!B14/100000000</f>
        <v>0</v>
      </c>
      <c r="D14" s="88" t="s">
        <v>391</v>
      </c>
      <c r="E14" s="89">
        <f>资产变化路径表5年!E14/100000000</f>
        <v>678.92818999999997</v>
      </c>
      <c r="G14" s="89">
        <f>E14</f>
        <v>678.92818999999997</v>
      </c>
      <c r="H14" s="89">
        <f>E14-G14</f>
        <v>0</v>
      </c>
    </row>
    <row r="15" spans="1:9">
      <c r="A15" s="88" t="s">
        <v>392</v>
      </c>
      <c r="B15" s="89">
        <f>资产变化路径表5年!B15/100000000</f>
        <v>3.1015299999999999</v>
      </c>
      <c r="E15" s="89"/>
      <c r="G15" s="89"/>
      <c r="H15" s="89"/>
    </row>
    <row r="16" spans="1:9">
      <c r="A16" s="88" t="s">
        <v>393</v>
      </c>
      <c r="B16" s="89">
        <f>资产变化路径表5年!B16/100000000</f>
        <v>21.88466</v>
      </c>
      <c r="D16" s="88" t="s">
        <v>394</v>
      </c>
      <c r="E16" s="89">
        <f>资产变化路径表5年!E16/100000000</f>
        <v>3.5787599999999999</v>
      </c>
    </row>
    <row r="17" spans="1:7" ht="16" thickBot="1">
      <c r="A17" s="88" t="s">
        <v>395</v>
      </c>
      <c r="B17" s="99">
        <f>SUM(B2:B16)</f>
        <v>955.46519000000012</v>
      </c>
      <c r="D17" s="88" t="s">
        <v>395</v>
      </c>
      <c r="E17" s="99">
        <f>SUM(E2:E16)</f>
        <v>955.46519000000001</v>
      </c>
    </row>
    <row r="18" spans="1:7">
      <c r="E18" s="89">
        <f>B17-E17</f>
        <v>0</v>
      </c>
    </row>
    <row r="19" spans="1:7" ht="16">
      <c r="A19" s="88" t="s">
        <v>396</v>
      </c>
      <c r="B19" s="129">
        <f>B3+B4</f>
        <v>362.68059000000005</v>
      </c>
      <c r="D19" s="101" t="s">
        <v>397</v>
      </c>
      <c r="E19" s="89">
        <f>G9</f>
        <v>971.59983</v>
      </c>
      <c r="F19" s="130">
        <f>B19/E19</f>
        <v>0.37328185823169613</v>
      </c>
    </row>
    <row r="20" spans="1:7">
      <c r="A20" s="88" t="s">
        <v>384</v>
      </c>
      <c r="B20" s="89">
        <f>B11</f>
        <v>121.22477000000001</v>
      </c>
      <c r="D20" s="101" t="s">
        <v>397</v>
      </c>
      <c r="E20" s="89">
        <f>E19</f>
        <v>971.59983</v>
      </c>
      <c r="F20" s="130">
        <f>B20/E20</f>
        <v>0.12476820832708463</v>
      </c>
    </row>
    <row r="23" spans="1:7" s="91" customFormat="1" ht="16">
      <c r="A23" s="131" t="s">
        <v>354</v>
      </c>
      <c r="B23" s="105" t="str">
        <f>资产变化路径表5年!B23</f>
        <v>TTM（至2024Q1)</v>
      </c>
      <c r="D23" s="91" t="str">
        <f>资产变化路径表5年!D23</f>
        <v>TTM（至2023Q1)</v>
      </c>
      <c r="E23" s="91" t="s">
        <v>402</v>
      </c>
    </row>
    <row r="24" spans="1:7" ht="16">
      <c r="A24" s="90" t="s">
        <v>403</v>
      </c>
      <c r="B24" s="129">
        <f>资产变化路径表5年!B24/100000000</f>
        <v>4891.3952600000002</v>
      </c>
      <c r="D24" s="129">
        <f>资产变化路径表5年!D24/100000000</f>
        <v>5126.7565299999997</v>
      </c>
      <c r="E24" s="130">
        <f t="shared" ref="E24:E29" si="0">B24/D24-1</f>
        <v>-4.5908415705475214E-2</v>
      </c>
      <c r="G24" s="106"/>
    </row>
    <row r="25" spans="1:7" ht="16">
      <c r="A25" s="88" t="s">
        <v>404</v>
      </c>
      <c r="B25" s="129">
        <f>资产变化路径表5年!B25/100000000</f>
        <v>4494.9301400000004</v>
      </c>
      <c r="D25" s="129">
        <f>资产变化路径表5年!D25/100000000</f>
        <v>4748.2279200000003</v>
      </c>
      <c r="E25" s="130">
        <f t="shared" si="0"/>
        <v>-5.334575009196274E-2</v>
      </c>
    </row>
    <row r="26" spans="1:7" ht="16">
      <c r="A26" s="90" t="s">
        <v>405</v>
      </c>
      <c r="B26" s="129">
        <f>资产变化路径表5年!B26/100000000</f>
        <v>220.96707000000001</v>
      </c>
      <c r="D26" s="129">
        <f>资产变化路径表5年!D26/100000000</f>
        <v>199.45654999999999</v>
      </c>
      <c r="E26" s="130">
        <f t="shared" si="0"/>
        <v>0.10784564357500415</v>
      </c>
    </row>
    <row r="27" spans="1:7" ht="16">
      <c r="A27" s="88" t="s">
        <v>406</v>
      </c>
      <c r="B27" s="129">
        <f>资产变化路径表5年!B27/100000000</f>
        <v>274.44725</v>
      </c>
      <c r="D27" s="129">
        <f>资产变化路径表5年!D27/100000000</f>
        <v>344.53003000000001</v>
      </c>
      <c r="E27" s="130">
        <f t="shared" si="0"/>
        <v>-0.20341559195870385</v>
      </c>
    </row>
    <row r="28" spans="1:7" ht="16">
      <c r="A28" s="88" t="s">
        <v>407</v>
      </c>
      <c r="B28" s="129">
        <f>资产变化路径表5年!B28/100000000</f>
        <v>-11.289110000000001</v>
      </c>
      <c r="D28" s="129">
        <f>资产变化路径表5年!D28/100000000</f>
        <v>-2.0196999999999998</v>
      </c>
      <c r="E28" s="130">
        <f t="shared" si="0"/>
        <v>4.5894984403624308</v>
      </c>
    </row>
    <row r="29" spans="1:7" ht="16">
      <c r="A29" s="88" t="s">
        <v>408</v>
      </c>
      <c r="B29" s="129">
        <f>资产变化路径表5年!B29/100000000</f>
        <v>0.17241999999999999</v>
      </c>
      <c r="D29" s="129">
        <f>资产变化路径表5年!D29/100000000</f>
        <v>-5.0840500000000004</v>
      </c>
      <c r="E29" s="130">
        <f t="shared" si="0"/>
        <v>-1.0339139072196379</v>
      </c>
    </row>
    <row r="30" spans="1:7" ht="16">
      <c r="A30" s="88" t="s">
        <v>349</v>
      </c>
      <c r="B30" s="132">
        <f>资产变化路径表5年!B30</f>
        <v>0.15192963160360859</v>
      </c>
      <c r="C30" s="133"/>
      <c r="D30" s="132">
        <f>资产变化路径表5年!D30</f>
        <v>0.15090966295689001</v>
      </c>
    </row>
    <row r="31" spans="1:7">
      <c r="A31" s="88" t="s">
        <v>409</v>
      </c>
      <c r="B31" s="89">
        <f>B24-B25</f>
        <v>396.46511999999984</v>
      </c>
      <c r="D31" s="89">
        <f>D24-D25</f>
        <v>378.52860999999939</v>
      </c>
    </row>
    <row r="32" spans="1:7">
      <c r="A32" s="88" t="s">
        <v>410</v>
      </c>
      <c r="B32" s="130">
        <f>资产变化路径表5年!B32</f>
        <v>8.1053584698448602E-2</v>
      </c>
      <c r="D32" s="130">
        <f>资产变化路径表5年!D32</f>
        <v>7.383393531270345E-2</v>
      </c>
    </row>
    <row r="33" spans="1:4">
      <c r="A33" s="88" t="s">
        <v>411</v>
      </c>
      <c r="B33" s="130">
        <f>资产变化路径表5年!B33</f>
        <v>4.5174650228532134E-2</v>
      </c>
      <c r="D33" s="130">
        <f>资产变化路径表5年!D33</f>
        <v>3.8905017008872861E-2</v>
      </c>
    </row>
    <row r="34" spans="1:4">
      <c r="A34" s="88" t="s">
        <v>412</v>
      </c>
      <c r="B34" s="110">
        <f>资产变化路径表5年!B34</f>
        <v>1.7676759727761879</v>
      </c>
      <c r="D34" s="110">
        <f>资产变化路径表5年!D34</f>
        <v>1.990107770792747</v>
      </c>
    </row>
    <row r="35" spans="1:4">
      <c r="A35" s="88" t="s">
        <v>413</v>
      </c>
      <c r="B35" s="134">
        <f>资产变化路径表5年!B35</f>
        <v>1.9025892007285679</v>
      </c>
      <c r="D35" s="134">
        <f>资产变化路径表5年!D35</f>
        <v>1.9491032431975117</v>
      </c>
    </row>
    <row r="36" spans="1:4">
      <c r="A36" s="88" t="s">
        <v>414</v>
      </c>
      <c r="B36" s="130">
        <f>资产变化路径表5年!B36</f>
        <v>0.15192963160360859</v>
      </c>
      <c r="D36" s="130">
        <f>资产变化路径表5年!D36</f>
        <v>0.15090966295689004</v>
      </c>
    </row>
    <row r="37" spans="1:4">
      <c r="A37" s="112" t="s">
        <v>350</v>
      </c>
      <c r="B37" s="113">
        <f>资产变化路径表5年!B37</f>
        <v>0.4716725296173106</v>
      </c>
      <c r="D37" s="113">
        <f>资产变化路径表5年!D37</f>
        <v>0.48428203491525951</v>
      </c>
    </row>
    <row r="38" spans="1:4">
      <c r="A38" s="88" t="s">
        <v>415</v>
      </c>
      <c r="B38" s="130">
        <f>资产变化路径表5年!B38</f>
        <v>0.13835263834839232</v>
      </c>
      <c r="D38" s="133">
        <f>资产变化路径表5年!D38</f>
        <v>0.14281404210513601</v>
      </c>
    </row>
    <row r="39" spans="1:4" ht="16">
      <c r="A39" s="90" t="s">
        <v>423</v>
      </c>
      <c r="B39" s="130">
        <f>资产变化路径表5年!B39</f>
        <v>0.62671814176830398</v>
      </c>
    </row>
    <row r="40" spans="1:4">
      <c r="A40" s="88" t="s">
        <v>417</v>
      </c>
      <c r="B40" s="130">
        <f>资产变化路径表5年!B40</f>
        <v>7.9854143787544588E-2</v>
      </c>
    </row>
    <row r="41" spans="1:4">
      <c r="A41" s="116" t="s">
        <v>418</v>
      </c>
    </row>
    <row r="42" spans="1:4">
      <c r="B42" s="113"/>
    </row>
    <row r="43" spans="1:4" s="120" customFormat="1" ht="16">
      <c r="A43" s="123"/>
      <c r="B43" s="134"/>
    </row>
    <row r="44" spans="1:4" s="120" customFormat="1" ht="16">
      <c r="A44" s="123"/>
      <c r="B44" s="134"/>
    </row>
    <row r="45" spans="1:4" s="120" customFormat="1">
      <c r="B45" s="133"/>
    </row>
    <row r="46" spans="1:4" s="120" customFormat="1">
      <c r="B46" s="133"/>
    </row>
    <row r="47" spans="1:4" s="120" customFormat="1" ht="16">
      <c r="A47" s="123"/>
      <c r="B47" s="133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47"/>
  <sheetViews>
    <sheetView zoomScaleNormal="100" workbookViewId="0">
      <selection activeCell="B105" sqref="B105"/>
    </sheetView>
  </sheetViews>
  <sheetFormatPr baseColWidth="10" defaultColWidth="9" defaultRowHeight="15"/>
  <cols>
    <col min="1" max="1" width="27.83203125" style="88" customWidth="1"/>
    <col min="2" max="2" width="17.6640625" style="88" bestFit="1" customWidth="1"/>
    <col min="3" max="3" width="1.33203125" style="88" customWidth="1"/>
    <col min="4" max="4" width="16.6640625" style="88" bestFit="1" customWidth="1"/>
    <col min="5" max="5" width="15.6640625" style="88" bestFit="1" customWidth="1"/>
    <col min="6" max="6" width="11" style="88" customWidth="1"/>
    <col min="7" max="8" width="16.6640625" style="88" bestFit="1" customWidth="1"/>
    <col min="9" max="16384" width="9" style="88"/>
  </cols>
  <sheetData>
    <row r="1" spans="1:9" s="87" customFormat="1">
      <c r="A1" s="87" t="s">
        <v>427</v>
      </c>
      <c r="B1" s="87" t="s">
        <v>366</v>
      </c>
      <c r="E1" s="87" t="s">
        <v>366</v>
      </c>
    </row>
    <row r="2" spans="1:9">
      <c r="A2" s="88" t="s">
        <v>367</v>
      </c>
      <c r="B2" s="136">
        <f>工业富联资产负债变动表!B97/100000000</f>
        <v>146.05074999999999</v>
      </c>
      <c r="C2" s="176"/>
      <c r="D2" s="176" t="s">
        <v>368</v>
      </c>
      <c r="E2" s="137">
        <f>工业富联资产负债变动表!B102/100000000</f>
        <v>-94.067930000000004</v>
      </c>
      <c r="F2" s="176"/>
      <c r="G2" s="176"/>
      <c r="H2" s="176"/>
    </row>
    <row r="3" spans="1:9" ht="16">
      <c r="A3" s="88" t="s">
        <v>369</v>
      </c>
      <c r="B3" s="137">
        <f>工业富联资产负债变动表!B98/100000000</f>
        <v>-149.55449999999999</v>
      </c>
      <c r="C3" s="176"/>
      <c r="D3" s="177" t="s">
        <v>370</v>
      </c>
      <c r="E3" s="181">
        <f>工业富联资产负债变动表!B103/100000000</f>
        <v>0.97653999999999996</v>
      </c>
      <c r="F3" s="176"/>
      <c r="G3" s="176"/>
      <c r="H3" s="176"/>
    </row>
    <row r="4" spans="1:9">
      <c r="A4" s="88" t="s">
        <v>371</v>
      </c>
      <c r="B4" s="181">
        <f>工业富联资产负债变动表!B100/100000000</f>
        <v>-6.3840500000000002</v>
      </c>
      <c r="C4" s="176"/>
      <c r="D4" s="176"/>
      <c r="E4" s="176"/>
      <c r="F4" s="176"/>
      <c r="G4" s="176"/>
      <c r="H4" s="176"/>
    </row>
    <row r="5" spans="1:9">
      <c r="A5" s="88" t="s">
        <v>372</v>
      </c>
      <c r="B5" s="181">
        <f>工业富联资产负债变动表!B99/100000000</f>
        <v>18.216670000000001</v>
      </c>
      <c r="C5" s="176"/>
      <c r="D5" s="176"/>
      <c r="E5" s="176"/>
      <c r="F5" s="176"/>
      <c r="G5" s="176"/>
      <c r="H5" s="176"/>
    </row>
    <row r="6" spans="1:9">
      <c r="A6" s="88" t="s">
        <v>375</v>
      </c>
      <c r="B6" s="137">
        <f>工业富联资产负债变动表!B101/100000000</f>
        <v>45.276299999999999</v>
      </c>
      <c r="C6" s="176"/>
      <c r="D6" s="176"/>
      <c r="E6" s="176"/>
      <c r="F6" s="176"/>
      <c r="G6" s="176"/>
      <c r="H6" s="176"/>
    </row>
    <row r="7" spans="1:9">
      <c r="A7" s="88" t="s">
        <v>376</v>
      </c>
      <c r="B7" s="181">
        <f>(工业富联资产负债变动表!B25+工业富联资产负债变动表!B26+工业富联资产负债变动表!B27)/100000000</f>
        <v>3.5460600000000002</v>
      </c>
      <c r="C7" s="176"/>
      <c r="D7" s="176" t="s">
        <v>377</v>
      </c>
      <c r="E7" s="135">
        <f>工业富联资产负债变动表!B70/100000000</f>
        <v>36.124360000000003</v>
      </c>
      <c r="F7" s="176"/>
      <c r="G7" s="176"/>
      <c r="H7" s="176"/>
    </row>
    <row r="8" spans="1:9">
      <c r="A8" s="88" t="s">
        <v>378</v>
      </c>
      <c r="B8" s="135">
        <f>工业富联资产负债变动表!B28/100000000</f>
        <v>0.62982000000000005</v>
      </c>
      <c r="C8" s="176"/>
      <c r="D8" s="176" t="s">
        <v>379</v>
      </c>
      <c r="E8" s="176">
        <f>工业富联资产负债变动表!B71/100000000</f>
        <v>0</v>
      </c>
      <c r="F8" s="176"/>
      <c r="G8" s="176"/>
      <c r="H8" s="176"/>
    </row>
    <row r="9" spans="1:9">
      <c r="A9" s="88" t="s">
        <v>380</v>
      </c>
      <c r="B9" s="136">
        <f>工业富联资产负债变动表!B29/100000000</f>
        <v>-50.359490000000001</v>
      </c>
      <c r="C9" s="176"/>
      <c r="D9" s="176" t="s">
        <v>381</v>
      </c>
      <c r="E9" s="181">
        <f>(工业富联资产负债变动表!B81-工业富联资产负债变动表!B70-工业富联资产负债变动表!B71)/100000000</f>
        <v>-2.25569</v>
      </c>
      <c r="F9" s="176"/>
      <c r="G9" s="176"/>
      <c r="H9" s="176"/>
    </row>
    <row r="10" spans="1:9">
      <c r="A10" s="88" t="s">
        <v>383</v>
      </c>
      <c r="B10" s="176">
        <f>工业富联资产负债变动表!B30/100000000</f>
        <v>0</v>
      </c>
      <c r="C10" s="176"/>
      <c r="D10" s="176"/>
      <c r="E10" s="176"/>
      <c r="F10" s="176" t="s">
        <v>329</v>
      </c>
      <c r="G10" s="138">
        <f>工业富联资产负债变动表!B105/100000000</f>
        <v>210.40192999999999</v>
      </c>
      <c r="H10" s="176"/>
      <c r="I10" s="88" t="s">
        <v>382</v>
      </c>
    </row>
    <row r="11" spans="1:9" ht="16">
      <c r="A11" s="88" t="s">
        <v>384</v>
      </c>
      <c r="B11" s="135">
        <f>(工业富联资产负债变动表!B32+工业富联资产负债变动表!B33+工业富联资产负债变动表!B35)/100000000</f>
        <v>35.812109999999997</v>
      </c>
      <c r="C11" s="176"/>
      <c r="D11" s="176"/>
      <c r="E11" s="176"/>
      <c r="F11" s="176" t="s">
        <v>330</v>
      </c>
      <c r="G11" s="138">
        <f>工业富联资产负债变动表!B106/100000000</f>
        <v>-109.25200599999999</v>
      </c>
      <c r="H11" s="139">
        <f>SUM(G10:G11)</f>
        <v>101.149924</v>
      </c>
      <c r="I11" s="128">
        <f>-G11/G10</f>
        <v>0.51925382053292002</v>
      </c>
    </row>
    <row r="12" spans="1:9" ht="16">
      <c r="A12" s="88" t="s">
        <v>386</v>
      </c>
      <c r="B12" s="181">
        <f>(工业富联资产负债变动表!B37+工业富联资产负债变动表!B38+工业富联资产负债变动表!B39+工业富联资产负债变动表!B40)/100000000</f>
        <v>-5.0671400000000002</v>
      </c>
      <c r="C12" s="176"/>
      <c r="D12" s="176"/>
      <c r="E12" s="176"/>
      <c r="F12" s="177" t="s">
        <v>385</v>
      </c>
      <c r="G12" s="138">
        <f>工业富联资产负债变动表!B107/100000000</f>
        <v>0</v>
      </c>
      <c r="H12" s="176"/>
    </row>
    <row r="13" spans="1:9">
      <c r="A13" s="88" t="s">
        <v>388</v>
      </c>
      <c r="B13" s="136">
        <f>工业富联资产负债变动表!B41/100000000</f>
        <v>5.64107</v>
      </c>
      <c r="C13" s="176"/>
      <c r="D13" s="176"/>
      <c r="E13" s="176"/>
      <c r="F13" s="176" t="s">
        <v>389</v>
      </c>
      <c r="G13" s="182">
        <f>G14-G11-G12-G10</f>
        <v>10.97268600000001</v>
      </c>
      <c r="H13" s="178" t="s">
        <v>425</v>
      </c>
    </row>
    <row r="14" spans="1:9">
      <c r="A14" s="88" t="s">
        <v>390</v>
      </c>
      <c r="B14" s="176">
        <f>工业富联资产负债变动表!B42/100000000</f>
        <v>0</v>
      </c>
      <c r="C14" s="176"/>
      <c r="D14" s="176" t="s">
        <v>391</v>
      </c>
      <c r="E14" s="176">
        <f>工业富联资产负债变动表!B92/100000000</f>
        <v>112.12260999999999</v>
      </c>
      <c r="F14" s="176"/>
      <c r="G14" s="176">
        <f>E14</f>
        <v>112.12260999999999</v>
      </c>
      <c r="H14" s="176">
        <f>E14-G14</f>
        <v>0</v>
      </c>
    </row>
    <row r="15" spans="1:9">
      <c r="A15" s="88" t="s">
        <v>392</v>
      </c>
      <c r="B15" s="176">
        <f>工业富联资产负债变动表!B43/100000000</f>
        <v>0</v>
      </c>
      <c r="C15" s="176"/>
      <c r="D15" s="176"/>
      <c r="E15" s="176"/>
      <c r="F15" s="176"/>
      <c r="G15" s="176"/>
      <c r="H15" s="176"/>
    </row>
    <row r="16" spans="1:9">
      <c r="A16" s="88" t="s">
        <v>393</v>
      </c>
      <c r="B16" s="137">
        <f>(工业富联资产负债变动表!B44+工业富联资产负债变动表!B45+工业富联资产负债变动表!B46)/100000000</f>
        <v>9.5879700000000003</v>
      </c>
      <c r="C16" s="176"/>
      <c r="D16" s="176" t="s">
        <v>394</v>
      </c>
      <c r="E16" s="181">
        <f>工业富联资产负债变动表!B93/100000000</f>
        <v>0.49568000000000001</v>
      </c>
      <c r="F16" s="176"/>
      <c r="G16" s="176"/>
      <c r="H16" s="176"/>
    </row>
    <row r="17" spans="1:8" ht="16" thickBot="1">
      <c r="A17" s="88" t="s">
        <v>395</v>
      </c>
      <c r="B17" s="140">
        <f>SUM(B2:B16)</f>
        <v>53.395569999999992</v>
      </c>
      <c r="C17" s="176"/>
      <c r="D17" s="176" t="s">
        <v>395</v>
      </c>
      <c r="E17" s="140">
        <f>SUM(E2:E16)</f>
        <v>53.395569999999992</v>
      </c>
      <c r="F17" s="176"/>
      <c r="G17" s="176"/>
      <c r="H17" s="176"/>
    </row>
    <row r="18" spans="1:8">
      <c r="E18" s="89">
        <f>B17-E17</f>
        <v>0</v>
      </c>
    </row>
    <row r="19" spans="1:8" ht="16">
      <c r="A19" s="88" t="s">
        <v>396</v>
      </c>
      <c r="B19" s="129">
        <f>B3+B4</f>
        <v>-155.93854999999999</v>
      </c>
      <c r="D19" s="101" t="s">
        <v>397</v>
      </c>
      <c r="E19" s="89">
        <f>G10</f>
        <v>210.40192999999999</v>
      </c>
      <c r="F19" s="130">
        <f>B19/E19</f>
        <v>-0.74114600564738164</v>
      </c>
    </row>
    <row r="20" spans="1:8">
      <c r="A20" s="88" t="s">
        <v>384</v>
      </c>
      <c r="B20" s="89">
        <f>B11</f>
        <v>35.812109999999997</v>
      </c>
      <c r="D20" s="101" t="s">
        <v>397</v>
      </c>
      <c r="E20" s="89">
        <f>E19</f>
        <v>210.40192999999999</v>
      </c>
      <c r="F20" s="130">
        <f>B20/E20</f>
        <v>0.17020808696954443</v>
      </c>
    </row>
    <row r="23" spans="1:8" ht="16">
      <c r="B23" s="90"/>
    </row>
    <row r="24" spans="1:8" ht="16">
      <c r="B24" s="129"/>
      <c r="D24" s="129"/>
      <c r="E24" s="130"/>
      <c r="G24" s="106"/>
    </row>
    <row r="25" spans="1:8" ht="16">
      <c r="B25" s="129"/>
      <c r="D25" s="129"/>
      <c r="E25" s="130"/>
    </row>
    <row r="26" spans="1:8" ht="16">
      <c r="B26" s="129"/>
      <c r="D26" s="129"/>
      <c r="E26" s="130"/>
    </row>
    <row r="27" spans="1:8" ht="16">
      <c r="B27" s="129"/>
      <c r="D27" s="129"/>
      <c r="E27" s="130"/>
    </row>
    <row r="28" spans="1:8" ht="16">
      <c r="B28" s="129"/>
      <c r="D28" s="129"/>
      <c r="E28" s="130"/>
    </row>
    <row r="29" spans="1:8" ht="16">
      <c r="B29" s="129"/>
      <c r="D29" s="129"/>
      <c r="E29" s="130"/>
    </row>
    <row r="30" spans="1:8" ht="16">
      <c r="B30" s="141"/>
      <c r="C30" s="133"/>
      <c r="D30" s="141"/>
    </row>
    <row r="31" spans="1:8">
      <c r="B31" s="89"/>
      <c r="D31" s="89"/>
    </row>
    <row r="32" spans="1:8">
      <c r="B32" s="130"/>
      <c r="D32" s="130"/>
    </row>
    <row r="33" spans="1:5">
      <c r="B33" s="130"/>
      <c r="D33" s="130"/>
    </row>
    <row r="34" spans="1:5">
      <c r="B34" s="110"/>
      <c r="D34" s="110"/>
    </row>
    <row r="35" spans="1:5">
      <c r="B35" s="134"/>
      <c r="D35" s="134"/>
    </row>
    <row r="36" spans="1:5">
      <c r="B36" s="130"/>
      <c r="D36" s="130"/>
    </row>
    <row r="37" spans="1:5">
      <c r="A37" s="112"/>
      <c r="B37" s="113"/>
      <c r="D37" s="113"/>
    </row>
    <row r="38" spans="1:5">
      <c r="B38" s="130"/>
      <c r="D38" s="133"/>
    </row>
    <row r="39" spans="1:5" ht="16">
      <c r="B39" s="130"/>
      <c r="D39" s="133"/>
      <c r="E39" s="90"/>
    </row>
    <row r="40" spans="1:5">
      <c r="B40" s="130"/>
      <c r="D40" s="130"/>
    </row>
    <row r="41" spans="1:5">
      <c r="A41" s="116"/>
    </row>
    <row r="43" spans="1:5" s="120" customFormat="1" ht="16">
      <c r="A43" s="123"/>
      <c r="B43" s="122"/>
    </row>
    <row r="44" spans="1:5" s="120" customFormat="1" ht="16">
      <c r="A44" s="123"/>
      <c r="B44" s="122"/>
    </row>
    <row r="45" spans="1:5" s="120" customFormat="1" ht="16">
      <c r="A45" s="123"/>
      <c r="B45" s="142"/>
    </row>
    <row r="46" spans="1:5" s="120" customFormat="1" ht="16">
      <c r="A46" s="123"/>
      <c r="B46" s="142"/>
    </row>
    <row r="47" spans="1:5" s="120" customFormat="1" ht="16">
      <c r="A47" s="123"/>
      <c r="B47" s="143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47"/>
  <sheetViews>
    <sheetView workbookViewId="0">
      <selection activeCell="B105" sqref="B105"/>
    </sheetView>
  </sheetViews>
  <sheetFormatPr baseColWidth="10" defaultColWidth="9" defaultRowHeight="15"/>
  <cols>
    <col min="1" max="1" width="27.83203125" style="88" customWidth="1"/>
    <col min="2" max="2" width="17.6640625" style="88" bestFit="1" customWidth="1"/>
    <col min="3" max="3" width="1.33203125" style="88" customWidth="1"/>
    <col min="4" max="4" width="16.6640625" style="88" bestFit="1" customWidth="1"/>
    <col min="5" max="5" width="15.1640625" style="88" bestFit="1" customWidth="1"/>
    <col min="6" max="6" width="11" style="88" customWidth="1"/>
    <col min="7" max="8" width="16.6640625" style="88" bestFit="1" customWidth="1"/>
    <col min="9" max="16384" width="9" style="88"/>
  </cols>
  <sheetData>
    <row r="1" spans="1:9" s="87" customFormat="1">
      <c r="A1" s="87" t="s">
        <v>428</v>
      </c>
      <c r="B1" s="87" t="s">
        <v>366</v>
      </c>
      <c r="E1" s="87" t="s">
        <v>366</v>
      </c>
    </row>
    <row r="2" spans="1:9">
      <c r="A2" s="88" t="s">
        <v>367</v>
      </c>
      <c r="B2" s="183">
        <f>工业富联资产负债变动表!C97/100000000</f>
        <v>-135.45201</v>
      </c>
      <c r="C2" s="89"/>
      <c r="D2" s="89" t="s">
        <v>368</v>
      </c>
      <c r="E2" s="126">
        <f>工业富联资产负债变动表!C102/100000000</f>
        <v>-16.389620000000001</v>
      </c>
      <c r="F2" s="89"/>
      <c r="G2" s="89"/>
      <c r="H2" s="89"/>
    </row>
    <row r="3" spans="1:9" ht="16">
      <c r="A3" s="88" t="s">
        <v>369</v>
      </c>
      <c r="B3" s="183">
        <f>工业富联资产负债变动表!C98/100000000</f>
        <v>131.01014000000001</v>
      </c>
      <c r="C3" s="89"/>
      <c r="D3" s="144" t="s">
        <v>370</v>
      </c>
      <c r="E3" s="183">
        <f>工业富联资产负债变动表!C103/100000000</f>
        <v>-1.1074999999999999</v>
      </c>
      <c r="F3" s="89"/>
      <c r="G3" s="89"/>
      <c r="H3" s="89"/>
    </row>
    <row r="4" spans="1:9">
      <c r="A4" s="88" t="s">
        <v>371</v>
      </c>
      <c r="B4" s="125">
        <f>工业富联资产负债变动表!C100/100000000</f>
        <v>53.939169999999997</v>
      </c>
      <c r="C4" s="89"/>
      <c r="D4" s="89"/>
      <c r="E4" s="89"/>
      <c r="F4" s="89"/>
      <c r="G4" s="89"/>
      <c r="H4" s="89"/>
    </row>
    <row r="5" spans="1:9">
      <c r="A5" s="88" t="s">
        <v>372</v>
      </c>
      <c r="B5" s="126">
        <f>工业富联资产负债变动表!C99/100000000</f>
        <v>-87.303579999999997</v>
      </c>
      <c r="C5" s="89"/>
      <c r="D5" s="89"/>
      <c r="E5" s="89"/>
      <c r="F5" s="89"/>
      <c r="G5" s="89"/>
      <c r="H5" s="89"/>
    </row>
    <row r="6" spans="1:9">
      <c r="A6" s="88" t="s">
        <v>375</v>
      </c>
      <c r="B6" s="125">
        <f>工业富联资产负债变动表!C101/100000000</f>
        <v>-40.346510000000002</v>
      </c>
      <c r="C6" s="89"/>
      <c r="D6" s="89"/>
      <c r="E6" s="89"/>
      <c r="F6" s="89"/>
      <c r="G6" s="89"/>
      <c r="H6" s="89"/>
    </row>
    <row r="7" spans="1:9">
      <c r="A7" s="88" t="s">
        <v>376</v>
      </c>
      <c r="B7" s="183">
        <f>(工业富联资产负债变动表!C25+工业富联资产负债变动表!C26+工业富联资产负债变动表!C27)/100000000</f>
        <v>2.5951</v>
      </c>
      <c r="C7" s="89"/>
      <c r="D7" s="89" t="s">
        <v>377</v>
      </c>
      <c r="E7" s="183">
        <f>工业富联资产负债变动表!C70/100000000</f>
        <v>-3.2984</v>
      </c>
      <c r="F7" s="89"/>
      <c r="G7" s="89"/>
      <c r="H7" s="89"/>
    </row>
    <row r="8" spans="1:9">
      <c r="A8" s="88" t="s">
        <v>378</v>
      </c>
      <c r="B8" s="89">
        <f>工业富联资产负债变动表!C28/100000000</f>
        <v>0</v>
      </c>
      <c r="C8" s="89"/>
      <c r="D8" s="89" t="s">
        <v>379</v>
      </c>
      <c r="E8" s="89">
        <f>工业富联资产负债变动表!C71/100000000</f>
        <v>0</v>
      </c>
      <c r="F8" s="89"/>
      <c r="G8" s="89"/>
      <c r="H8" s="89"/>
    </row>
    <row r="9" spans="1:9">
      <c r="A9" s="88" t="s">
        <v>380</v>
      </c>
      <c r="B9" s="125">
        <f>工业富联资产负债变动表!C29/100000000</f>
        <v>90.477739999999997</v>
      </c>
      <c r="C9" s="89"/>
      <c r="D9" s="89" t="s">
        <v>381</v>
      </c>
      <c r="E9" s="183">
        <f>(工业富联资产负债变动表!C81-工业富联资产负债变动表!C70-工业富联资产负债变动表!C71)/100000000</f>
        <v>2.1586099999999999</v>
      </c>
      <c r="F9" s="89"/>
      <c r="G9" s="89"/>
      <c r="H9" s="89"/>
    </row>
    <row r="10" spans="1:9">
      <c r="A10" s="88" t="s">
        <v>383</v>
      </c>
      <c r="B10" s="89">
        <f>工业富联资产负债变动表!C30/100000000</f>
        <v>0</v>
      </c>
      <c r="C10" s="89"/>
      <c r="D10" s="89"/>
      <c r="E10" s="89"/>
      <c r="F10" s="89" t="s">
        <v>329</v>
      </c>
      <c r="G10" s="89">
        <f>工业富联资产负债变动表!C105/100000000</f>
        <v>200.73071999999999</v>
      </c>
      <c r="H10" s="89"/>
      <c r="I10" s="88" t="s">
        <v>382</v>
      </c>
    </row>
    <row r="11" spans="1:9" ht="16">
      <c r="A11" s="88" t="s">
        <v>384</v>
      </c>
      <c r="B11" s="126">
        <f>(工业富联资产负债变动表!C32+工业富联资产负债变动表!C33+工业富联资产负债变动表!C35)/100000000</f>
        <v>57.301819999999999</v>
      </c>
      <c r="C11" s="89"/>
      <c r="D11" s="89"/>
      <c r="E11" s="89"/>
      <c r="F11" s="89" t="s">
        <v>330</v>
      </c>
      <c r="G11" s="89">
        <f>工业富联资产负债变动表!C106/100000000</f>
        <v>-98.909452000000002</v>
      </c>
      <c r="H11" s="127">
        <f>SUM(G10:G11)</f>
        <v>101.82126799999999</v>
      </c>
      <c r="I11" s="128">
        <f>-G11/G10</f>
        <v>0.49274695970801086</v>
      </c>
    </row>
    <row r="12" spans="1:9" ht="16">
      <c r="A12" s="88" t="s">
        <v>386</v>
      </c>
      <c r="B12" s="89">
        <f>(工业富联资产负债变动表!C37+工业富联资产负债变动表!C38+工业富联资产负债变动表!C39+工业富联资产负债变动表!C40)/100000000</f>
        <v>-0.41765999999999998</v>
      </c>
      <c r="C12" s="89"/>
      <c r="D12" s="89"/>
      <c r="E12" s="89"/>
      <c r="F12" s="144" t="s">
        <v>385</v>
      </c>
      <c r="G12" s="89">
        <f>工业富联资产负债变动表!C107/100000000</f>
        <v>0</v>
      </c>
      <c r="H12" s="89"/>
    </row>
    <row r="13" spans="1:9">
      <c r="A13" s="88" t="s">
        <v>388</v>
      </c>
      <c r="B13" s="89">
        <f>工业富联资产负债变动表!C41/100000000</f>
        <v>0.33291999999999999</v>
      </c>
      <c r="C13" s="89"/>
      <c r="D13" s="89"/>
      <c r="E13" s="89"/>
      <c r="F13" s="89" t="s">
        <v>389</v>
      </c>
      <c r="G13" s="184">
        <f>G14-G11-G12-G10</f>
        <v>-3.8753680000000088</v>
      </c>
      <c r="H13" s="145" t="s">
        <v>425</v>
      </c>
    </row>
    <row r="14" spans="1:9">
      <c r="A14" s="88" t="s">
        <v>390</v>
      </c>
      <c r="B14" s="89">
        <f>工业富联资产负债变动表!C42/100000000</f>
        <v>0</v>
      </c>
      <c r="C14" s="89"/>
      <c r="D14" s="89" t="s">
        <v>391</v>
      </c>
      <c r="E14" s="89">
        <f>工业富联资产负债变动表!C92/100000000</f>
        <v>97.945899999999995</v>
      </c>
      <c r="F14" s="89"/>
      <c r="G14" s="89">
        <f>E14</f>
        <v>97.945899999999995</v>
      </c>
      <c r="H14" s="89">
        <f>E14-G14</f>
        <v>0</v>
      </c>
    </row>
    <row r="15" spans="1:9">
      <c r="A15" s="88" t="s">
        <v>392</v>
      </c>
      <c r="B15" s="126">
        <f>工业富联资产负债变动表!C43/100000000</f>
        <v>3.1015299999999999</v>
      </c>
      <c r="C15" s="89"/>
      <c r="D15" s="89"/>
      <c r="E15" s="89"/>
      <c r="F15" s="89"/>
      <c r="G15" s="89"/>
      <c r="H15" s="89"/>
    </row>
    <row r="16" spans="1:9">
      <c r="A16" s="88" t="s">
        <v>393</v>
      </c>
      <c r="B16" s="126">
        <f>(工业富联资产负债变动表!C44+工业富联资产负债变动表!C45+工业富联资产负债变动表!C46)/100000000</f>
        <v>4.6825900000000003</v>
      </c>
      <c r="C16" s="89"/>
      <c r="D16" s="89" t="s">
        <v>394</v>
      </c>
      <c r="E16" s="126">
        <f>工业富联资产负债变动表!C93/100000000</f>
        <v>0.51226000000000005</v>
      </c>
      <c r="F16" s="89"/>
      <c r="G16" s="89"/>
      <c r="H16" s="89"/>
    </row>
    <row r="17" spans="1:8" ht="16" thickBot="1">
      <c r="A17" s="88" t="s">
        <v>395</v>
      </c>
      <c r="B17" s="99">
        <f>SUM(B2:B16)</f>
        <v>79.921250000000001</v>
      </c>
      <c r="C17" s="89"/>
      <c r="D17" s="89" t="s">
        <v>395</v>
      </c>
      <c r="E17" s="99">
        <f>SUM(E2:E16)</f>
        <v>79.821249999999992</v>
      </c>
      <c r="F17" s="89"/>
      <c r="G17" s="89"/>
      <c r="H17" s="89"/>
    </row>
    <row r="18" spans="1:8">
      <c r="E18" s="89">
        <f>B17-E17</f>
        <v>0.10000000000000853</v>
      </c>
    </row>
    <row r="19" spans="1:8" ht="16">
      <c r="A19" s="88" t="s">
        <v>396</v>
      </c>
      <c r="B19" s="129">
        <f>B3+B4</f>
        <v>184.94931</v>
      </c>
      <c r="D19" s="101" t="s">
        <v>397</v>
      </c>
      <c r="E19" s="89">
        <f>G10</f>
        <v>200.73071999999999</v>
      </c>
      <c r="F19" s="130">
        <f>B19/E19</f>
        <v>0.92138019531838478</v>
      </c>
    </row>
    <row r="20" spans="1:8">
      <c r="A20" s="88" t="s">
        <v>384</v>
      </c>
      <c r="B20" s="89">
        <f>B11</f>
        <v>57.301819999999999</v>
      </c>
      <c r="D20" s="101" t="s">
        <v>397</v>
      </c>
      <c r="E20" s="89">
        <f>E19</f>
        <v>200.73071999999999</v>
      </c>
      <c r="F20" s="130">
        <f>B20/E20</f>
        <v>0.2854661209803861</v>
      </c>
    </row>
    <row r="23" spans="1:8" ht="16">
      <c r="B23" s="90"/>
    </row>
    <row r="24" spans="1:8" ht="16">
      <c r="B24" s="129"/>
      <c r="D24" s="129"/>
      <c r="E24" s="130"/>
      <c r="G24" s="106"/>
    </row>
    <row r="25" spans="1:8" ht="16">
      <c r="B25" s="129"/>
      <c r="D25" s="129"/>
      <c r="E25" s="130"/>
    </row>
    <row r="26" spans="1:8" ht="16">
      <c r="B26" s="129"/>
      <c r="D26" s="129"/>
      <c r="E26" s="130"/>
    </row>
    <row r="27" spans="1:8" ht="16">
      <c r="B27" s="129"/>
      <c r="D27" s="129"/>
      <c r="E27" s="130"/>
    </row>
    <row r="28" spans="1:8" ht="16">
      <c r="B28" s="129"/>
      <c r="D28" s="129"/>
      <c r="E28" s="130"/>
    </row>
    <row r="29" spans="1:8" ht="16">
      <c r="B29" s="129"/>
      <c r="D29" s="129"/>
      <c r="E29" s="130"/>
    </row>
    <row r="30" spans="1:8" ht="16">
      <c r="B30" s="141"/>
      <c r="C30" s="133"/>
      <c r="D30" s="141"/>
    </row>
    <row r="31" spans="1:8">
      <c r="B31" s="89"/>
      <c r="D31" s="89"/>
    </row>
    <row r="32" spans="1:8">
      <c r="B32" s="130"/>
      <c r="D32" s="130"/>
    </row>
    <row r="33" spans="1:4">
      <c r="B33" s="130"/>
      <c r="D33" s="130"/>
    </row>
    <row r="34" spans="1:4">
      <c r="B34" s="110"/>
      <c r="D34" s="110"/>
    </row>
    <row r="35" spans="1:4">
      <c r="B35" s="134"/>
      <c r="D35" s="134"/>
    </row>
    <row r="36" spans="1:4">
      <c r="B36" s="130"/>
      <c r="D36" s="130"/>
    </row>
    <row r="37" spans="1:4">
      <c r="A37" s="112"/>
      <c r="B37" s="113"/>
      <c r="D37" s="113"/>
    </row>
    <row r="38" spans="1:4">
      <c r="B38" s="130"/>
      <c r="D38" s="133"/>
    </row>
    <row r="39" spans="1:4">
      <c r="B39" s="130"/>
      <c r="D39" s="133"/>
    </row>
    <row r="40" spans="1:4">
      <c r="B40" s="130"/>
      <c r="D40" s="130"/>
    </row>
    <row r="41" spans="1:4">
      <c r="A41" s="116"/>
    </row>
    <row r="43" spans="1:4" s="120" customFormat="1" ht="16">
      <c r="A43" s="123"/>
      <c r="B43" s="122"/>
    </row>
    <row r="44" spans="1:4" s="120" customFormat="1" ht="16">
      <c r="A44" s="123"/>
      <c r="B44" s="122"/>
    </row>
    <row r="45" spans="1:4" s="120" customFormat="1" ht="16">
      <c r="A45" s="123"/>
      <c r="B45" s="142"/>
    </row>
    <row r="46" spans="1:4" s="120" customFormat="1" ht="16">
      <c r="A46" s="123"/>
      <c r="B46" s="142"/>
    </row>
    <row r="47" spans="1:4" s="120" customFormat="1" ht="16">
      <c r="A47" s="123"/>
      <c r="B47" s="142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47"/>
  <sheetViews>
    <sheetView workbookViewId="0">
      <selection activeCell="B105" sqref="B105"/>
    </sheetView>
  </sheetViews>
  <sheetFormatPr baseColWidth="10" defaultColWidth="9" defaultRowHeight="15"/>
  <cols>
    <col min="1" max="1" width="27.83203125" style="88" customWidth="1"/>
    <col min="2" max="2" width="17.6640625" style="88" bestFit="1" customWidth="1"/>
    <col min="3" max="3" width="1.33203125" style="88" customWidth="1"/>
    <col min="4" max="4" width="16.6640625" style="88" bestFit="1" customWidth="1"/>
    <col min="5" max="5" width="15.1640625" style="88" bestFit="1" customWidth="1"/>
    <col min="6" max="6" width="11" style="88" customWidth="1"/>
    <col min="7" max="8" width="16.6640625" style="88" bestFit="1" customWidth="1"/>
    <col min="9" max="16384" width="9" style="88"/>
  </cols>
  <sheetData>
    <row r="1" spans="1:9" s="87" customFormat="1">
      <c r="A1" s="87" t="s">
        <v>503</v>
      </c>
      <c r="B1" s="87" t="s">
        <v>366</v>
      </c>
      <c r="E1" s="87" t="s">
        <v>366</v>
      </c>
    </row>
    <row r="2" spans="1:9">
      <c r="A2" s="88" t="s">
        <v>367</v>
      </c>
      <c r="B2" s="126">
        <f>工业富联资产负债变动表!D97/100000000</f>
        <v>47.417189999999998</v>
      </c>
      <c r="C2" s="89"/>
      <c r="D2" s="89" t="s">
        <v>368</v>
      </c>
      <c r="E2" s="126">
        <f>工业富联资产负债变动表!D102/100000000</f>
        <v>79.137200000000007</v>
      </c>
      <c r="F2" s="89"/>
      <c r="G2" s="89"/>
      <c r="H2" s="89"/>
    </row>
    <row r="3" spans="1:9" ht="16">
      <c r="A3" s="88" t="s">
        <v>369</v>
      </c>
      <c r="B3" s="125">
        <f>工业富联资产负债变动表!D98/100000000</f>
        <v>-93.897350000000003</v>
      </c>
      <c r="C3" s="89"/>
      <c r="D3" s="144" t="s">
        <v>370</v>
      </c>
      <c r="E3" s="126">
        <f>工业富联资产负债变动表!D103/100000000</f>
        <v>-0.70145000000000002</v>
      </c>
      <c r="F3" s="89"/>
      <c r="G3" s="89"/>
      <c r="H3" s="89"/>
    </row>
    <row r="4" spans="1:9">
      <c r="A4" s="88" t="s">
        <v>371</v>
      </c>
      <c r="B4" s="125">
        <f>工业富联资产负债变动表!D100/100000000</f>
        <v>265.73937000000001</v>
      </c>
      <c r="C4" s="89"/>
      <c r="D4" s="89"/>
      <c r="E4" s="89"/>
      <c r="F4" s="89"/>
      <c r="G4" s="89"/>
      <c r="H4" s="89"/>
    </row>
    <row r="5" spans="1:9">
      <c r="A5" s="88" t="s">
        <v>372</v>
      </c>
      <c r="B5" s="125">
        <f>工业富联资产负债变动表!D99/100000000</f>
        <v>-3.1460300000000001</v>
      </c>
      <c r="C5" s="89"/>
      <c r="D5" s="89"/>
      <c r="E5" s="89"/>
      <c r="F5" s="89"/>
      <c r="G5" s="89"/>
      <c r="H5" s="89"/>
    </row>
    <row r="6" spans="1:9">
      <c r="A6" s="88" t="s">
        <v>375</v>
      </c>
      <c r="B6" s="125">
        <f>工业富联资产负债变动表!D101/100000000</f>
        <v>-6.6662699999999999</v>
      </c>
      <c r="C6" s="89"/>
      <c r="D6" s="89"/>
      <c r="E6" s="89"/>
      <c r="F6" s="89"/>
      <c r="G6" s="89"/>
      <c r="H6" s="89"/>
    </row>
    <row r="7" spans="1:9">
      <c r="A7" s="88" t="s">
        <v>376</v>
      </c>
      <c r="B7" s="125">
        <f>(工业富联资产负债变动表!D25+工业富联资产负债变动表!D26+工业富联资产负债变动表!D27)/100000000</f>
        <v>1.2874699999999999</v>
      </c>
      <c r="C7" s="89"/>
      <c r="D7" s="89" t="s">
        <v>377</v>
      </c>
      <c r="E7" s="126">
        <f>工业富联资产负债变动表!D70/100000000</f>
        <v>38.141219999999997</v>
      </c>
      <c r="F7" s="89"/>
      <c r="G7" s="89"/>
      <c r="H7" s="89"/>
    </row>
    <row r="8" spans="1:9">
      <c r="A8" s="88" t="s">
        <v>378</v>
      </c>
      <c r="B8" s="89">
        <f>工业富联资产负债变动表!D28/100000000</f>
        <v>0</v>
      </c>
      <c r="C8" s="89"/>
      <c r="D8" s="89" t="s">
        <v>379</v>
      </c>
      <c r="E8" s="89">
        <f>工业富联资产负债变动表!D71/100000000</f>
        <v>0</v>
      </c>
      <c r="F8" s="89"/>
      <c r="G8" s="89"/>
      <c r="H8" s="89"/>
    </row>
    <row r="9" spans="1:9">
      <c r="A9" s="88" t="s">
        <v>380</v>
      </c>
      <c r="B9" s="126">
        <f>工业富联资产负债变动表!D29/100000000</f>
        <v>20.002320000000001</v>
      </c>
      <c r="C9" s="89"/>
      <c r="D9" s="89" t="s">
        <v>381</v>
      </c>
      <c r="E9" s="125">
        <f>(工业富联资产负债变动表!D81-工业富联资产负债变动表!D70-工业富联资产负债变动表!D71)/100000000</f>
        <v>10.303979999999999</v>
      </c>
      <c r="F9" s="89"/>
      <c r="G9" s="89"/>
      <c r="H9" s="89"/>
    </row>
    <row r="10" spans="1:9">
      <c r="A10" s="88" t="s">
        <v>383</v>
      </c>
      <c r="B10" s="89">
        <f>工业富联资产负债变动表!D30/100000000</f>
        <v>0</v>
      </c>
      <c r="C10" s="89"/>
      <c r="D10" s="89"/>
      <c r="E10" s="89"/>
      <c r="F10" s="89" t="s">
        <v>329</v>
      </c>
      <c r="G10" s="89">
        <f>工业富联资产负债变动表!D105/100000000</f>
        <v>200.09751</v>
      </c>
      <c r="H10" s="89"/>
      <c r="I10" s="88" t="s">
        <v>382</v>
      </c>
    </row>
    <row r="11" spans="1:9" ht="16">
      <c r="A11" s="88" t="s">
        <v>384</v>
      </c>
      <c r="B11" s="126">
        <f>(工业富联资产负债变动表!D32+工业富联资产负债变动表!D33+工业富联资产负债变动表!D35)/100000000</f>
        <v>31.413740000000001</v>
      </c>
      <c r="C11" s="89"/>
      <c r="D11" s="89"/>
      <c r="E11" s="89"/>
      <c r="F11" s="89" t="s">
        <v>330</v>
      </c>
      <c r="G11" s="89">
        <f>工业富联资产负债变动表!D106/100000000</f>
        <v>-49.667898999999998</v>
      </c>
      <c r="H11" s="127">
        <f>SUM(G10:G11)</f>
        <v>150.42961099999999</v>
      </c>
      <c r="I11" s="128">
        <f>-G11/G10</f>
        <v>0.24821847608198622</v>
      </c>
    </row>
    <row r="12" spans="1:9" ht="16">
      <c r="A12" s="88" t="s">
        <v>386</v>
      </c>
      <c r="B12" s="126">
        <f>(工业富联资产负债变动表!D37+工业富联资产负债变动表!D38+工业富联资产负债变动表!D39+工业富联资产负债变动表!D40)/100000000</f>
        <v>21.196210000000001</v>
      </c>
      <c r="C12" s="89"/>
      <c r="D12" s="89"/>
      <c r="E12" s="89"/>
      <c r="F12" s="144" t="s">
        <v>385</v>
      </c>
      <c r="G12" s="89">
        <f>工业富联资产负债变动表!D107/100000000</f>
        <v>0</v>
      </c>
      <c r="H12" s="89"/>
    </row>
    <row r="13" spans="1:9">
      <c r="A13" s="88" t="s">
        <v>388</v>
      </c>
      <c r="B13" s="89">
        <f>工业富联资产负债变动表!D41/100000000</f>
        <v>1.6959999999999999E-2</v>
      </c>
      <c r="C13" s="89"/>
      <c r="D13" s="89"/>
      <c r="E13" s="89"/>
      <c r="F13" s="89" t="s">
        <v>389</v>
      </c>
      <c r="G13" s="127">
        <f>G14-G11-G12-G10</f>
        <v>3.8509190000000046</v>
      </c>
      <c r="H13" s="145" t="s">
        <v>425</v>
      </c>
    </row>
    <row r="14" spans="1:9">
      <c r="A14" s="88" t="s">
        <v>390</v>
      </c>
      <c r="B14" s="89">
        <f>工业富联资产负债变动表!D42/100000000</f>
        <v>0</v>
      </c>
      <c r="C14" s="89"/>
      <c r="D14" s="89" t="s">
        <v>391</v>
      </c>
      <c r="E14" s="89">
        <f>工业富联资产负债变动表!D92/100000000</f>
        <v>154.28053</v>
      </c>
      <c r="F14" s="89"/>
      <c r="G14" s="89">
        <f>E14</f>
        <v>154.28053</v>
      </c>
      <c r="H14" s="89">
        <f>E14-G14</f>
        <v>0</v>
      </c>
    </row>
    <row r="15" spans="1:9">
      <c r="A15" s="88" t="s">
        <v>392</v>
      </c>
      <c r="B15" s="89">
        <f>工业富联资产负债变动表!D43/100000000</f>
        <v>0</v>
      </c>
      <c r="C15" s="89"/>
      <c r="D15" s="89"/>
      <c r="E15" s="89"/>
      <c r="F15" s="89"/>
      <c r="G15" s="89"/>
      <c r="H15" s="89"/>
    </row>
    <row r="16" spans="1:9">
      <c r="A16" s="88" t="s">
        <v>393</v>
      </c>
      <c r="B16" s="125">
        <f>(工业富联资产负债变动表!D44+工业富联资产负债变动表!D45+工业富联资产负债变动表!D46)/100000000</f>
        <v>1.8386499999999999</v>
      </c>
      <c r="C16" s="89"/>
      <c r="D16" s="89" t="s">
        <v>394</v>
      </c>
      <c r="E16" s="89">
        <f>工业富联资产负债变动表!D93/100000000</f>
        <v>0.18939</v>
      </c>
      <c r="F16" s="89"/>
      <c r="G16" s="89"/>
      <c r="H16" s="89"/>
    </row>
    <row r="17" spans="1:8" ht="16" thickBot="1">
      <c r="A17" s="88" t="s">
        <v>395</v>
      </c>
      <c r="B17" s="99">
        <f>SUM(B2:B16)</f>
        <v>285.20225999999997</v>
      </c>
      <c r="C17" s="89"/>
      <c r="D17" s="89" t="s">
        <v>395</v>
      </c>
      <c r="E17" s="99">
        <f>SUM(E2:E16)</f>
        <v>281.35086999999999</v>
      </c>
      <c r="F17" s="89"/>
      <c r="G17" s="89"/>
      <c r="H17" s="89"/>
    </row>
    <row r="18" spans="1:8">
      <c r="E18" s="89">
        <f>B17-E17</f>
        <v>3.8513899999999808</v>
      </c>
    </row>
    <row r="19" spans="1:8" ht="16">
      <c r="A19" s="88" t="s">
        <v>396</v>
      </c>
      <c r="B19" s="129">
        <f>B3+B4</f>
        <v>171.84201999999999</v>
      </c>
      <c r="D19" s="101" t="s">
        <v>397</v>
      </c>
      <c r="E19" s="89">
        <f>G10</f>
        <v>200.09751</v>
      </c>
      <c r="F19" s="130">
        <f>B19/E19</f>
        <v>0.85879139625475598</v>
      </c>
    </row>
    <row r="20" spans="1:8">
      <c r="A20" s="88" t="s">
        <v>384</v>
      </c>
      <c r="B20" s="89">
        <f>B11</f>
        <v>31.413740000000001</v>
      </c>
      <c r="D20" s="101" t="s">
        <v>397</v>
      </c>
      <c r="E20" s="89">
        <f>E19</f>
        <v>200.09751</v>
      </c>
      <c r="F20" s="130">
        <f>B20/E20</f>
        <v>0.15699215847313644</v>
      </c>
    </row>
    <row r="23" spans="1:8" ht="16">
      <c r="B23" s="90"/>
    </row>
    <row r="24" spans="1:8" ht="16">
      <c r="B24" s="129"/>
      <c r="D24" s="129"/>
      <c r="E24" s="130"/>
      <c r="G24" s="106"/>
    </row>
    <row r="25" spans="1:8" ht="16">
      <c r="B25" s="129"/>
      <c r="D25" s="129"/>
      <c r="E25" s="130"/>
    </row>
    <row r="26" spans="1:8" ht="16">
      <c r="B26" s="129"/>
      <c r="D26" s="129"/>
      <c r="E26" s="130"/>
    </row>
    <row r="27" spans="1:8" ht="16">
      <c r="B27" s="129"/>
      <c r="D27" s="129"/>
      <c r="E27" s="130"/>
    </row>
    <row r="28" spans="1:8" ht="16">
      <c r="B28" s="129"/>
      <c r="D28" s="129"/>
      <c r="E28" s="130"/>
    </row>
    <row r="29" spans="1:8" ht="16">
      <c r="B29" s="129"/>
      <c r="D29" s="129"/>
      <c r="E29" s="130"/>
    </row>
    <row r="30" spans="1:8" ht="16">
      <c r="B30" s="141"/>
      <c r="C30" s="133"/>
      <c r="D30" s="141"/>
    </row>
    <row r="31" spans="1:8">
      <c r="B31" s="89"/>
      <c r="D31" s="89"/>
    </row>
    <row r="32" spans="1:8">
      <c r="B32" s="130"/>
      <c r="D32" s="130"/>
    </row>
    <row r="33" spans="1:4">
      <c r="B33" s="130"/>
      <c r="D33" s="130"/>
    </row>
    <row r="34" spans="1:4">
      <c r="B34" s="110"/>
      <c r="D34" s="110"/>
    </row>
    <row r="35" spans="1:4">
      <c r="B35" s="134"/>
      <c r="D35" s="134"/>
    </row>
    <row r="36" spans="1:4">
      <c r="B36" s="130"/>
      <c r="D36" s="130"/>
    </row>
    <row r="37" spans="1:4">
      <c r="A37" s="112"/>
      <c r="B37" s="113"/>
      <c r="D37" s="113"/>
    </row>
    <row r="38" spans="1:4">
      <c r="B38" s="130"/>
      <c r="D38" s="133"/>
    </row>
    <row r="39" spans="1:4">
      <c r="B39" s="130"/>
      <c r="D39" s="133"/>
    </row>
    <row r="40" spans="1:4">
      <c r="B40" s="130"/>
      <c r="D40" s="130"/>
    </row>
    <row r="41" spans="1:4">
      <c r="A41" s="116"/>
    </row>
    <row r="43" spans="1:4" s="120" customFormat="1" ht="16">
      <c r="A43" s="123"/>
      <c r="B43" s="122"/>
    </row>
    <row r="44" spans="1:4" s="120" customFormat="1" ht="16">
      <c r="A44" s="123"/>
      <c r="B44" s="122"/>
    </row>
    <row r="45" spans="1:4" s="120" customFormat="1" ht="16">
      <c r="A45" s="123"/>
      <c r="B45" s="142"/>
    </row>
    <row r="46" spans="1:4" s="120" customFormat="1" ht="16">
      <c r="A46" s="123"/>
      <c r="B46" s="142"/>
    </row>
    <row r="47" spans="1:4" s="120" customFormat="1" ht="16">
      <c r="A47" s="123"/>
      <c r="B47" s="142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H48"/>
  <sheetViews>
    <sheetView workbookViewId="0">
      <pane xSplit="3" ySplit="2" topLeftCell="D5" activePane="bottomRight" state="frozen"/>
      <selection activeCell="B105" sqref="B105"/>
      <selection pane="topRight" activeCell="B105" sqref="B105"/>
      <selection pane="bottomLeft" activeCell="B105" sqref="B105"/>
      <selection pane="bottomRight" activeCell="C9" sqref="C9:C12"/>
    </sheetView>
  </sheetViews>
  <sheetFormatPr baseColWidth="10" defaultColWidth="8.6640625" defaultRowHeight="15"/>
  <cols>
    <col min="1" max="2" width="8.6640625" style="112"/>
    <col min="3" max="3" width="14.33203125" style="146" customWidth="1"/>
    <col min="4" max="4" width="16.5" style="112" bestFit="1" customWidth="1"/>
    <col min="5" max="5" width="8.6640625" style="112"/>
    <col min="6" max="6" width="9.6640625" style="112" bestFit="1" customWidth="1"/>
    <col min="7" max="7" width="16.5" style="112" bestFit="1" customWidth="1"/>
    <col min="8" max="8" width="11.33203125" style="112" bestFit="1" customWidth="1"/>
    <col min="9" max="16384" width="8.6640625" style="112"/>
  </cols>
  <sheetData>
    <row r="1" spans="3:8">
      <c r="D1" s="147" t="s">
        <v>504</v>
      </c>
      <c r="G1" s="147" t="s">
        <v>504</v>
      </c>
    </row>
    <row r="2" spans="3:8">
      <c r="C2" s="112"/>
      <c r="D2" s="148">
        <v>45544</v>
      </c>
      <c r="F2" s="112" t="s">
        <v>578</v>
      </c>
      <c r="G2" s="148">
        <v>45422</v>
      </c>
      <c r="H2" s="112" t="s">
        <v>511</v>
      </c>
    </row>
    <row r="3" spans="3:8" ht="16">
      <c r="C3" s="146" t="s">
        <v>429</v>
      </c>
      <c r="D3" s="149">
        <v>18.600000000000001</v>
      </c>
      <c r="E3" s="112" t="s">
        <v>2</v>
      </c>
      <c r="G3" s="149">
        <v>23.84</v>
      </c>
      <c r="H3" s="175">
        <f t="shared" ref="H3:H12" si="0">D3/G3-1</f>
        <v>-0.21979865771812079</v>
      </c>
    </row>
    <row r="4" spans="3:8" ht="16">
      <c r="C4" s="146" t="s">
        <v>430</v>
      </c>
      <c r="D4" s="150">
        <f>1986402.73/10000</f>
        <v>198.64027300000001</v>
      </c>
      <c r="E4" s="112" t="s">
        <v>431</v>
      </c>
      <c r="G4" s="150">
        <v>198.64027300000001</v>
      </c>
      <c r="H4" s="175"/>
    </row>
    <row r="5" spans="3:8" ht="16">
      <c r="C5" s="146" t="s">
        <v>432</v>
      </c>
      <c r="D5" s="149">
        <f>D3*D4</f>
        <v>3694.7090778000006</v>
      </c>
      <c r="E5" s="112" t="s">
        <v>431</v>
      </c>
      <c r="G5" s="149">
        <v>4735.5841083200003</v>
      </c>
      <c r="H5" s="175">
        <f t="shared" si="0"/>
        <v>-0.21979865771812068</v>
      </c>
    </row>
    <row r="6" spans="3:8" ht="16">
      <c r="C6" s="146" t="s">
        <v>579</v>
      </c>
      <c r="D6" s="149">
        <f>SUM(东财季度指标!B2:E2)</f>
        <v>4891</v>
      </c>
      <c r="E6" s="112" t="s">
        <v>431</v>
      </c>
      <c r="F6" s="196">
        <f>资产变化路径表7年!B24/100000000</f>
        <v>4891.3952600000002</v>
      </c>
      <c r="G6" s="151">
        <v>4891</v>
      </c>
      <c r="H6" s="175">
        <f t="shared" si="0"/>
        <v>0</v>
      </c>
    </row>
    <row r="7" spans="3:8" ht="16">
      <c r="C7" s="146" t="s">
        <v>580</v>
      </c>
      <c r="D7" s="149">
        <f>SUM(东财季度指标!B4:E4)</f>
        <v>220.97000000000003</v>
      </c>
      <c r="E7" s="112" t="s">
        <v>431</v>
      </c>
      <c r="F7" s="196">
        <f>资产变化路径表7年!B26/100000000</f>
        <v>220.96707000000001</v>
      </c>
      <c r="G7" s="149">
        <v>220.97000000000003</v>
      </c>
      <c r="H7" s="175">
        <f t="shared" si="0"/>
        <v>0</v>
      </c>
    </row>
    <row r="8" spans="3:8" ht="16">
      <c r="C8" s="146" t="s">
        <v>581</v>
      </c>
      <c r="D8" s="149">
        <f>SUM(东财季度指标!B5:E5)</f>
        <v>212.74</v>
      </c>
      <c r="E8" s="112" t="s">
        <v>431</v>
      </c>
      <c r="G8" s="149">
        <v>212.74</v>
      </c>
      <c r="H8" s="175">
        <f>D8/G8-1</f>
        <v>0</v>
      </c>
    </row>
    <row r="9" spans="3:8" ht="16">
      <c r="C9" s="146" t="s">
        <v>583</v>
      </c>
      <c r="D9" s="149">
        <f>工业富联现金流量表!C80/100000000</f>
        <v>168.21263999999999</v>
      </c>
      <c r="E9" s="112" t="s">
        <v>431</v>
      </c>
      <c r="G9" s="149">
        <v>168.21263999999999</v>
      </c>
      <c r="H9" s="175">
        <f t="shared" si="0"/>
        <v>0</v>
      </c>
    </row>
    <row r="10" spans="3:8">
      <c r="C10" s="146" t="s">
        <v>584</v>
      </c>
      <c r="D10" s="151">
        <f>工业富联资产负债表!B95/100000000</f>
        <v>2767.1334200000001</v>
      </c>
      <c r="E10" s="112" t="s">
        <v>431</v>
      </c>
      <c r="G10" s="151">
        <v>2767.1334200000001</v>
      </c>
      <c r="H10" s="175">
        <f t="shared" si="0"/>
        <v>0</v>
      </c>
    </row>
    <row r="11" spans="3:8">
      <c r="C11" s="146" t="s">
        <v>585</v>
      </c>
      <c r="D11" s="151">
        <f>工业富联资产负债表!B100/100000000</f>
        <v>206.77790999999999</v>
      </c>
      <c r="E11" s="112" t="s">
        <v>431</v>
      </c>
      <c r="G11" s="151">
        <v>206.77790999999999</v>
      </c>
      <c r="H11" s="175">
        <f t="shared" si="0"/>
        <v>0</v>
      </c>
    </row>
    <row r="12" spans="3:8" ht="16">
      <c r="C12" s="146" t="s">
        <v>586</v>
      </c>
      <c r="D12" s="149">
        <f>工业富联资产负债表!B92/100000000</f>
        <v>1454.4040399999999</v>
      </c>
      <c r="E12" s="112" t="s">
        <v>431</v>
      </c>
      <c r="G12" s="149">
        <v>1454.4040399999999</v>
      </c>
      <c r="H12" s="175">
        <f t="shared" si="0"/>
        <v>0</v>
      </c>
    </row>
    <row r="13" spans="3:8">
      <c r="C13" s="152" t="s">
        <v>433</v>
      </c>
      <c r="D13" s="153">
        <f>D5/工业富联利润表!P24*7*100000000</f>
        <v>27.488206502904905</v>
      </c>
      <c r="G13" s="153">
        <v>35.232195861787787</v>
      </c>
    </row>
    <row r="14" spans="3:8">
      <c r="C14" s="152" t="s">
        <v>434</v>
      </c>
      <c r="D14" s="153">
        <f>D5/工业富联利润表!R24*3*100000000</f>
        <v>25.951219837087031</v>
      </c>
      <c r="G14" s="153">
        <v>33.262208651406169</v>
      </c>
    </row>
    <row r="15" spans="3:8" s="155" customFormat="1">
      <c r="C15" s="147" t="s">
        <v>435</v>
      </c>
      <c r="D15" s="154">
        <f>D5/D7</f>
        <v>16.720410362492647</v>
      </c>
      <c r="G15" s="154">
        <v>21.430891561388421</v>
      </c>
    </row>
    <row r="16" spans="3:8" s="155" customFormat="1">
      <c r="C16" s="147" t="s">
        <v>436</v>
      </c>
      <c r="D16" s="154">
        <f>D5/D9</f>
        <v>21.964515138695884</v>
      </c>
      <c r="G16" s="154">
        <v>28.152367790672571</v>
      </c>
    </row>
    <row r="17" spans="2:7" s="155" customFormat="1">
      <c r="C17" s="147" t="s">
        <v>437</v>
      </c>
      <c r="D17" s="156">
        <f>D5/D12</f>
        <v>2.5403594710861781</v>
      </c>
      <c r="G17" s="156">
        <v>3.2560306339083054</v>
      </c>
    </row>
    <row r="18" spans="2:7" s="155" customFormat="1">
      <c r="C18" s="147" t="s">
        <v>438</v>
      </c>
      <c r="D18" s="157">
        <f>D17/D15</f>
        <v>0.15193164617447022</v>
      </c>
      <c r="G18" s="157">
        <v>0.15193164617447022</v>
      </c>
    </row>
    <row r="19" spans="2:7" s="155" customFormat="1">
      <c r="C19" s="147" t="s">
        <v>439</v>
      </c>
      <c r="D19" s="157">
        <f>资产变化路径表7年!B40</f>
        <v>7.9854143787544588E-2</v>
      </c>
      <c r="G19" s="157">
        <v>7.9854143787544588E-2</v>
      </c>
    </row>
    <row r="20" spans="2:7">
      <c r="C20" s="146" t="str">
        <f>资产变化路径表7年!A38</f>
        <v>投入资本回报率</v>
      </c>
      <c r="D20" s="158">
        <f>资产变化路径表7年!B38</f>
        <v>0.13835263834839232</v>
      </c>
      <c r="G20" s="158">
        <v>0.13835263834839232</v>
      </c>
    </row>
    <row r="21" spans="2:7">
      <c r="C21" s="146" t="s">
        <v>209</v>
      </c>
      <c r="D21" s="158">
        <f>资产变化路径表7年!B32</f>
        <v>8.1053584698448602E-2</v>
      </c>
      <c r="G21" s="158">
        <v>8.1053584698448602E-2</v>
      </c>
    </row>
    <row r="22" spans="2:7">
      <c r="C22" s="146" t="s">
        <v>215</v>
      </c>
      <c r="D22" s="158">
        <f>资产变化路径表7年!B33</f>
        <v>4.5174650228532134E-2</v>
      </c>
      <c r="G22" s="158">
        <v>4.5174650228532134E-2</v>
      </c>
    </row>
    <row r="23" spans="2:7">
      <c r="C23" s="146" t="s">
        <v>440</v>
      </c>
      <c r="D23" s="158">
        <f>工业富联资产负债变动表!B132</f>
        <v>9.1063738843987635E-2</v>
      </c>
      <c r="G23" s="158">
        <v>9.1063738843987635E-2</v>
      </c>
    </row>
    <row r="24" spans="2:7">
      <c r="C24" s="146" t="s">
        <v>350</v>
      </c>
      <c r="D24" s="158">
        <f>工业富联资产负债表!B97</f>
        <v>0.4716725296173106</v>
      </c>
      <c r="G24" s="158">
        <v>0.4716725296173106</v>
      </c>
    </row>
    <row r="25" spans="2:7">
      <c r="C25" s="146" t="s">
        <v>510</v>
      </c>
      <c r="D25" s="158">
        <f>工业富联资产负债变动表!I115</f>
        <v>2.5419137552285743E-2</v>
      </c>
      <c r="G25" s="158">
        <v>2.5419137552285743E-2</v>
      </c>
    </row>
    <row r="26" spans="2:7">
      <c r="B26" s="159"/>
      <c r="C26" s="146" t="s">
        <v>441</v>
      </c>
      <c r="D26" s="158">
        <f>资产变化路径表7年!I10</f>
        <v>0.24872870175522421</v>
      </c>
      <c r="G26" s="158">
        <v>0.24872870175522421</v>
      </c>
    </row>
    <row r="27" spans="2:7">
      <c r="C27" s="146" t="s">
        <v>442</v>
      </c>
      <c r="D27" s="160">
        <f>-工业富联资产负债变动表!B106/100000000/'总结 '!D5</f>
        <v>2.9569853457867827E-2</v>
      </c>
      <c r="G27" s="160">
        <v>2.3070439358906947E-2</v>
      </c>
    </row>
    <row r="28" spans="2:7">
      <c r="C28" s="161" t="s">
        <v>419</v>
      </c>
      <c r="D28" s="160">
        <f>资产变化路径表7年!B42</f>
        <v>7.8029726329810142E-4</v>
      </c>
      <c r="G28" s="160">
        <v>7.8029726329810142E-4</v>
      </c>
    </row>
    <row r="29" spans="2:7">
      <c r="C29" s="162" t="s">
        <v>420</v>
      </c>
      <c r="D29" s="160">
        <f>资产变化路径表7年!B43</f>
        <v>5.186985554001327E-2</v>
      </c>
      <c r="G29" s="160">
        <v>5.186985554001327E-2</v>
      </c>
    </row>
    <row r="30" spans="2:7">
      <c r="C30" s="146" t="s">
        <v>509</v>
      </c>
      <c r="D30" s="163">
        <f>资产变化路径表7年!B39</f>
        <v>0.61518046150686934</v>
      </c>
      <c r="G30" s="163">
        <v>0.61518046150686934</v>
      </c>
    </row>
    <row r="31" spans="2:7" ht="16">
      <c r="C31" s="164" t="s">
        <v>443</v>
      </c>
      <c r="D31" s="165">
        <f>资产变化路径表7年!B34</f>
        <v>1.7676759727761879</v>
      </c>
      <c r="G31" s="165">
        <v>1.7676759727761879</v>
      </c>
    </row>
    <row r="32" spans="2:7">
      <c r="C32" s="166" t="s">
        <v>444</v>
      </c>
      <c r="D32" s="165">
        <f>D6/D11</f>
        <v>23.653397019052957</v>
      </c>
      <c r="G32" s="165">
        <v>23.653397019052957</v>
      </c>
    </row>
    <row r="33" spans="2:8" ht="16">
      <c r="B33" s="90"/>
      <c r="C33" s="146" t="s">
        <v>445</v>
      </c>
      <c r="D33" s="163">
        <f>资产变化路径表7年!F19</f>
        <v>0.38481953849313066</v>
      </c>
      <c r="G33" s="163">
        <v>0.38481953849313066</v>
      </c>
    </row>
    <row r="34" spans="2:8">
      <c r="B34" s="88"/>
      <c r="C34" s="146" t="s">
        <v>446</v>
      </c>
      <c r="D34" s="163">
        <f>资产变化路径表7年!F20</f>
        <v>6.3993939747370082E-2</v>
      </c>
      <c r="G34" s="163">
        <v>6.3993939747370082E-2</v>
      </c>
    </row>
    <row r="35" spans="2:8">
      <c r="C35" s="167" t="s">
        <v>447</v>
      </c>
      <c r="D35" s="168">
        <f>资产变化路径表7年!F21</f>
        <v>0.11945508523988187</v>
      </c>
      <c r="G35" s="168">
        <v>0.11945508523988187</v>
      </c>
    </row>
    <row r="36" spans="2:8" ht="16">
      <c r="C36" s="146" t="s">
        <v>448</v>
      </c>
      <c r="D36" s="169" t="s">
        <v>505</v>
      </c>
      <c r="G36" s="169" t="s">
        <v>507</v>
      </c>
    </row>
    <row r="37" spans="2:8" ht="16">
      <c r="C37" s="146" t="s">
        <v>449</v>
      </c>
      <c r="D37" s="148">
        <v>43259</v>
      </c>
      <c r="G37" s="148">
        <v>43259</v>
      </c>
      <c r="H37" s="169"/>
    </row>
    <row r="38" spans="2:8">
      <c r="C38" s="146" t="s">
        <v>450</v>
      </c>
      <c r="D38" s="148" t="s">
        <v>457</v>
      </c>
      <c r="G38" s="148" t="s">
        <v>457</v>
      </c>
    </row>
    <row r="39" spans="2:8" ht="16">
      <c r="C39" s="146" t="s">
        <v>451</v>
      </c>
      <c r="D39" s="169" t="s">
        <v>506</v>
      </c>
      <c r="G39" s="169" t="s">
        <v>508</v>
      </c>
    </row>
    <row r="40" spans="2:8">
      <c r="C40" s="146" t="s">
        <v>452</v>
      </c>
      <c r="D40" s="112">
        <v>197000</v>
      </c>
      <c r="G40" s="112">
        <v>197000</v>
      </c>
    </row>
    <row r="41" spans="2:8">
      <c r="C41" s="146" t="s">
        <v>453</v>
      </c>
      <c r="D41" s="112">
        <v>13.77</v>
      </c>
      <c r="G41" s="112">
        <v>13.77</v>
      </c>
      <c r="H41" s="146"/>
    </row>
    <row r="42" spans="2:8">
      <c r="C42" s="146" t="s">
        <v>454</v>
      </c>
      <c r="D42" s="146">
        <v>40400</v>
      </c>
      <c r="G42" s="146">
        <v>40400</v>
      </c>
      <c r="H42" s="170"/>
    </row>
    <row r="43" spans="2:8">
      <c r="C43" s="146" t="s">
        <v>455</v>
      </c>
      <c r="D43" s="170">
        <f>D40*D41-D42</f>
        <v>2672290</v>
      </c>
      <c r="G43" s="170">
        <v>2672290</v>
      </c>
      <c r="H43" s="148"/>
    </row>
    <row r="44" spans="2:8">
      <c r="C44" s="146" t="s">
        <v>456</v>
      </c>
      <c r="D44" s="148" t="s">
        <v>457</v>
      </c>
      <c r="G44" s="148" t="s">
        <v>457</v>
      </c>
      <c r="H44" s="171"/>
    </row>
    <row r="45" spans="2:8">
      <c r="C45" s="146" t="s">
        <v>458</v>
      </c>
      <c r="D45" s="171"/>
      <c r="G45" s="171"/>
    </row>
    <row r="46" spans="2:8">
      <c r="C46" s="146" t="s">
        <v>459</v>
      </c>
    </row>
    <row r="47" spans="2:8">
      <c r="C47" s="146" t="s">
        <v>460</v>
      </c>
      <c r="H47" s="171"/>
    </row>
    <row r="48" spans="2:8">
      <c r="C48" s="146" t="s">
        <v>461</v>
      </c>
      <c r="D48" s="171"/>
      <c r="G48" s="171"/>
    </row>
  </sheetData>
  <phoneticPr fontId="18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J39"/>
  <sheetViews>
    <sheetView workbookViewId="0">
      <pane xSplit="1" ySplit="1" topLeftCell="B2" activePane="bottomRight" state="frozen"/>
      <selection activeCell="B105" sqref="B105"/>
      <selection pane="topRight" activeCell="B105" sqref="B105"/>
      <selection pane="bottomLeft" activeCell="B105" sqref="B105"/>
      <selection pane="bottomRight" activeCell="B105" sqref="B105"/>
    </sheetView>
  </sheetViews>
  <sheetFormatPr baseColWidth="10" defaultColWidth="8.83203125" defaultRowHeight="16"/>
  <cols>
    <col min="1" max="1" width="27.6640625" bestFit="1" customWidth="1"/>
    <col min="2" max="10" width="10.83203125"/>
    <col min="11" max="16384" width="8.83203125" style="44"/>
  </cols>
  <sheetData>
    <row r="1" spans="1:10">
      <c r="A1" t="s">
        <v>462</v>
      </c>
      <c r="B1" s="172">
        <v>45291</v>
      </c>
      <c r="C1" s="172">
        <v>44926</v>
      </c>
      <c r="D1" s="172">
        <v>44561</v>
      </c>
      <c r="E1" s="172">
        <v>44196</v>
      </c>
      <c r="F1" s="172">
        <v>43830</v>
      </c>
      <c r="G1" s="172">
        <v>43465</v>
      </c>
      <c r="H1" s="172">
        <v>43100</v>
      </c>
      <c r="I1" s="172">
        <v>42735</v>
      </c>
      <c r="J1" s="172">
        <v>42369</v>
      </c>
    </row>
    <row r="2" spans="1:10">
      <c r="A2" t="s">
        <v>463</v>
      </c>
      <c r="B2">
        <v>4763</v>
      </c>
      <c r="C2">
        <v>5118</v>
      </c>
      <c r="D2">
        <v>4396</v>
      </c>
      <c r="E2">
        <v>4318</v>
      </c>
      <c r="F2">
        <v>4087</v>
      </c>
      <c r="G2">
        <v>4154</v>
      </c>
      <c r="H2">
        <v>3545</v>
      </c>
      <c r="I2">
        <v>2727</v>
      </c>
      <c r="J2">
        <v>2728</v>
      </c>
    </row>
    <row r="3" spans="1:10">
      <c r="A3" t="s">
        <v>464</v>
      </c>
      <c r="B3">
        <v>383.8</v>
      </c>
      <c r="C3">
        <v>371.7</v>
      </c>
      <c r="D3">
        <v>365.2</v>
      </c>
      <c r="E3">
        <v>348.4</v>
      </c>
      <c r="F3">
        <v>342.5</v>
      </c>
      <c r="G3">
        <v>358.9</v>
      </c>
      <c r="H3">
        <v>359.6</v>
      </c>
      <c r="I3">
        <v>290.39999999999998</v>
      </c>
      <c r="J3">
        <v>286.39999999999998</v>
      </c>
    </row>
    <row r="4" spans="1:10">
      <c r="A4" t="s">
        <v>465</v>
      </c>
      <c r="B4">
        <v>210.4</v>
      </c>
      <c r="C4">
        <v>200.7</v>
      </c>
      <c r="D4">
        <v>200.1</v>
      </c>
      <c r="E4">
        <v>174.3</v>
      </c>
      <c r="F4">
        <v>186.1</v>
      </c>
      <c r="G4">
        <v>169</v>
      </c>
      <c r="H4">
        <v>158.69999999999999</v>
      </c>
      <c r="I4">
        <v>143.69999999999999</v>
      </c>
      <c r="J4">
        <v>143.5</v>
      </c>
    </row>
    <row r="5" spans="1:10">
      <c r="A5" t="s">
        <v>466</v>
      </c>
      <c r="B5">
        <v>202.1</v>
      </c>
      <c r="C5">
        <v>184.1</v>
      </c>
      <c r="D5">
        <v>185.8</v>
      </c>
      <c r="E5">
        <v>163.9</v>
      </c>
      <c r="F5">
        <v>169.8</v>
      </c>
      <c r="G5">
        <v>167.2</v>
      </c>
      <c r="H5">
        <v>159.5</v>
      </c>
      <c r="I5">
        <v>141.1</v>
      </c>
      <c r="J5">
        <v>139.6</v>
      </c>
    </row>
    <row r="6" spans="1:10">
      <c r="A6" t="s">
        <v>467</v>
      </c>
      <c r="B6">
        <v>-6.94</v>
      </c>
      <c r="C6">
        <v>16.45</v>
      </c>
      <c r="D6">
        <v>1.8</v>
      </c>
      <c r="E6">
        <v>5.65</v>
      </c>
      <c r="F6">
        <v>-1.61</v>
      </c>
      <c r="G6">
        <v>17.16</v>
      </c>
      <c r="H6">
        <v>30.01</v>
      </c>
      <c r="I6">
        <v>-0.03</v>
      </c>
      <c r="J6" t="s">
        <v>476</v>
      </c>
    </row>
    <row r="7" spans="1:10">
      <c r="A7" t="s">
        <v>468</v>
      </c>
      <c r="B7">
        <v>4.82</v>
      </c>
      <c r="C7">
        <v>0.32</v>
      </c>
      <c r="D7">
        <v>14.8</v>
      </c>
      <c r="E7">
        <v>-6.32</v>
      </c>
      <c r="F7">
        <v>10.08</v>
      </c>
      <c r="G7">
        <v>6.52</v>
      </c>
      <c r="H7">
        <v>10.45</v>
      </c>
      <c r="I7">
        <v>0.11</v>
      </c>
      <c r="J7" t="s">
        <v>476</v>
      </c>
    </row>
    <row r="8" spans="1:10">
      <c r="A8" t="s">
        <v>469</v>
      </c>
      <c r="B8">
        <v>9.77</v>
      </c>
      <c r="C8">
        <v>-0.92</v>
      </c>
      <c r="D8">
        <v>13.39</v>
      </c>
      <c r="E8">
        <v>-3.52</v>
      </c>
      <c r="F8">
        <v>1.56</v>
      </c>
      <c r="G8">
        <v>4.83</v>
      </c>
      <c r="H8">
        <v>13.04</v>
      </c>
      <c r="I8">
        <v>1.07</v>
      </c>
      <c r="J8" t="s">
        <v>476</v>
      </c>
    </row>
    <row r="9" spans="1:10">
      <c r="B9" s="172"/>
      <c r="C9" s="172"/>
      <c r="D9" s="172"/>
      <c r="E9" s="172"/>
      <c r="F9" s="172"/>
      <c r="G9" s="172"/>
      <c r="H9" s="172"/>
      <c r="I9" s="172"/>
      <c r="J9" s="172"/>
    </row>
    <row r="10" spans="1:10">
      <c r="A10" t="s">
        <v>470</v>
      </c>
      <c r="B10">
        <v>15.63</v>
      </c>
      <c r="C10">
        <v>16.170000000000002</v>
      </c>
      <c r="D10">
        <v>18.02</v>
      </c>
      <c r="E10">
        <v>18.13</v>
      </c>
      <c r="F10">
        <v>23.04</v>
      </c>
      <c r="G10">
        <v>33.659999999999997</v>
      </c>
      <c r="H10">
        <v>18.87</v>
      </c>
      <c r="I10">
        <v>20.93</v>
      </c>
      <c r="J10">
        <v>27.67</v>
      </c>
    </row>
    <row r="11" spans="1:10">
      <c r="A11" t="s">
        <v>471</v>
      </c>
      <c r="B11">
        <v>15.02</v>
      </c>
      <c r="C11">
        <v>14.83</v>
      </c>
      <c r="D11">
        <v>16.73</v>
      </c>
      <c r="E11">
        <v>17.04</v>
      </c>
      <c r="F11">
        <v>21.03</v>
      </c>
      <c r="G11">
        <v>33.31</v>
      </c>
      <c r="H11">
        <v>18.97</v>
      </c>
      <c r="I11">
        <v>20.56</v>
      </c>
      <c r="J11">
        <v>26.93</v>
      </c>
    </row>
    <row r="12" spans="1:10">
      <c r="A12" t="s">
        <v>472</v>
      </c>
      <c r="B12">
        <v>7.35</v>
      </c>
      <c r="C12">
        <v>7.29</v>
      </c>
      <c r="D12">
        <v>8.14</v>
      </c>
      <c r="E12">
        <v>8.08</v>
      </c>
      <c r="F12">
        <v>9.16</v>
      </c>
      <c r="G12">
        <v>9.68</v>
      </c>
      <c r="H12">
        <v>11.41</v>
      </c>
      <c r="I12">
        <v>11.73</v>
      </c>
      <c r="J12">
        <v>26.16</v>
      </c>
    </row>
    <row r="13" spans="1:10">
      <c r="A13" t="s">
        <v>473</v>
      </c>
      <c r="B13">
        <v>8.06</v>
      </c>
      <c r="C13">
        <v>7.26</v>
      </c>
      <c r="D13">
        <v>8.31</v>
      </c>
      <c r="E13">
        <v>8.07</v>
      </c>
      <c r="F13">
        <v>8.3800000000000008</v>
      </c>
      <c r="G13">
        <v>8.64</v>
      </c>
      <c r="H13">
        <v>10.14</v>
      </c>
      <c r="I13">
        <v>10.65</v>
      </c>
      <c r="J13">
        <v>10.5</v>
      </c>
    </row>
    <row r="14" spans="1:10">
      <c r="A14" s="173" t="s">
        <v>474</v>
      </c>
      <c r="B14">
        <v>4.41</v>
      </c>
      <c r="C14">
        <v>3.92</v>
      </c>
      <c r="D14">
        <v>4.5599999999999996</v>
      </c>
      <c r="E14">
        <v>4.04</v>
      </c>
      <c r="F14">
        <v>4.55</v>
      </c>
      <c r="G14">
        <v>4.07</v>
      </c>
      <c r="H14">
        <v>4.57</v>
      </c>
      <c r="I14">
        <v>5.28</v>
      </c>
      <c r="J14">
        <v>5.26</v>
      </c>
    </row>
    <row r="15" spans="1:10">
      <c r="B15" s="172"/>
      <c r="C15" s="172"/>
      <c r="D15" s="172"/>
      <c r="E15" s="172"/>
      <c r="F15" s="172"/>
      <c r="G15" s="172"/>
      <c r="H15" s="172"/>
      <c r="I15" s="172"/>
      <c r="J15" s="172"/>
    </row>
    <row r="16" spans="1:10">
      <c r="A16" t="s">
        <v>475</v>
      </c>
      <c r="B16" t="s">
        <v>476</v>
      </c>
      <c r="C16" t="s">
        <v>476</v>
      </c>
      <c r="D16" t="s">
        <v>476</v>
      </c>
      <c r="E16" t="s">
        <v>476</v>
      </c>
      <c r="F16">
        <v>0</v>
      </c>
      <c r="G16">
        <v>0</v>
      </c>
      <c r="H16">
        <v>0</v>
      </c>
      <c r="I16">
        <v>1E-3</v>
      </c>
      <c r="J16">
        <v>1E-3</v>
      </c>
    </row>
    <row r="17" spans="1:10">
      <c r="A17" t="s">
        <v>477</v>
      </c>
      <c r="B17">
        <v>0.153</v>
      </c>
      <c r="C17">
        <v>7.2999999999999995E-2</v>
      </c>
      <c r="D17">
        <v>7.0999999999999994E-2</v>
      </c>
      <c r="E17">
        <v>7.5999999999999998E-2</v>
      </c>
      <c r="F17">
        <v>7.4999999999999997E-2</v>
      </c>
      <c r="G17">
        <v>0.112</v>
      </c>
      <c r="H17">
        <v>0.11</v>
      </c>
      <c r="I17">
        <v>0.17799999999999999</v>
      </c>
      <c r="J17">
        <v>0.13500000000000001</v>
      </c>
    </row>
    <row r="18" spans="1:10">
      <c r="A18" t="s">
        <v>478</v>
      </c>
      <c r="B18">
        <v>0.09</v>
      </c>
      <c r="C18">
        <v>0.03</v>
      </c>
      <c r="D18">
        <v>0.02</v>
      </c>
      <c r="E18">
        <v>1.7999999999999999E-2</v>
      </c>
      <c r="F18">
        <v>1.6E-2</v>
      </c>
      <c r="G18">
        <v>5.2999999999999999E-2</v>
      </c>
      <c r="H18">
        <v>2.4E-2</v>
      </c>
      <c r="I18">
        <v>7.6999999999999999E-2</v>
      </c>
      <c r="J18">
        <v>3.1E-2</v>
      </c>
    </row>
    <row r="19" spans="1:10">
      <c r="A19" t="s">
        <v>479</v>
      </c>
      <c r="B19">
        <v>9.11</v>
      </c>
      <c r="C19">
        <v>8.56</v>
      </c>
      <c r="D19">
        <v>10.27</v>
      </c>
      <c r="E19">
        <v>11.75</v>
      </c>
      <c r="F19">
        <v>11.96</v>
      </c>
      <c r="G19">
        <v>15.76</v>
      </c>
      <c r="H19">
        <v>19.07</v>
      </c>
      <c r="I19">
        <v>18.05</v>
      </c>
      <c r="J19">
        <v>18.079999999999998</v>
      </c>
    </row>
    <row r="20" spans="1:10">
      <c r="B20" s="172"/>
      <c r="C20" s="172"/>
      <c r="D20" s="172"/>
      <c r="E20" s="172"/>
      <c r="F20" s="172"/>
      <c r="G20" s="172"/>
      <c r="H20" s="172"/>
      <c r="I20" s="172"/>
      <c r="J20" s="172"/>
    </row>
    <row r="21" spans="1:10">
      <c r="A21" t="s">
        <v>480</v>
      </c>
      <c r="B21">
        <v>1.829</v>
      </c>
      <c r="C21">
        <v>1.669</v>
      </c>
      <c r="D21">
        <v>1.7490000000000001</v>
      </c>
      <c r="E21">
        <v>1.7689999999999999</v>
      </c>
      <c r="F21">
        <v>1.6870000000000001</v>
      </c>
      <c r="G21">
        <v>1.484</v>
      </c>
      <c r="H21">
        <v>1.135</v>
      </c>
      <c r="I21">
        <v>2.1019999999999999</v>
      </c>
      <c r="J21">
        <v>1.915</v>
      </c>
    </row>
    <row r="22" spans="1:10">
      <c r="A22" t="s">
        <v>481</v>
      </c>
      <c r="B22">
        <v>1.2729999999999999</v>
      </c>
      <c r="C22">
        <v>1.1499999999999999</v>
      </c>
      <c r="D22">
        <v>1.24</v>
      </c>
      <c r="E22">
        <v>1.393</v>
      </c>
      <c r="F22">
        <v>1.3280000000000001</v>
      </c>
      <c r="G22">
        <v>1.1910000000000001</v>
      </c>
      <c r="H22">
        <v>0.84</v>
      </c>
      <c r="I22">
        <v>1.61</v>
      </c>
      <c r="J22">
        <v>1.3740000000000001</v>
      </c>
    </row>
    <row r="23" spans="1:10">
      <c r="A23" t="s">
        <v>482</v>
      </c>
      <c r="B23">
        <v>0.312</v>
      </c>
      <c r="C23">
        <v>0.10299999999999999</v>
      </c>
      <c r="D23">
        <v>6.2E-2</v>
      </c>
      <c r="E23">
        <v>6.4000000000000001E-2</v>
      </c>
      <c r="F23">
        <v>5.6000000000000001E-2</v>
      </c>
      <c r="G23">
        <v>0.17199999999999999</v>
      </c>
      <c r="H23">
        <v>7.0999999999999994E-2</v>
      </c>
      <c r="I23">
        <v>0.36099999999999999</v>
      </c>
      <c r="J23">
        <v>0.17199999999999999</v>
      </c>
    </row>
    <row r="24" spans="1:10">
      <c r="A24" t="s">
        <v>483</v>
      </c>
      <c r="B24">
        <v>51.13</v>
      </c>
      <c r="C24">
        <v>54.49</v>
      </c>
      <c r="D24">
        <v>55.18</v>
      </c>
      <c r="E24">
        <v>53.87</v>
      </c>
      <c r="F24">
        <v>56.55</v>
      </c>
      <c r="G24">
        <v>63.94</v>
      </c>
      <c r="H24">
        <v>81.03</v>
      </c>
      <c r="I24">
        <v>42.89</v>
      </c>
      <c r="J24">
        <v>45.72</v>
      </c>
    </row>
    <row r="25" spans="1:10">
      <c r="A25" s="173" t="s">
        <v>484</v>
      </c>
      <c r="B25">
        <v>2.0459999999999998</v>
      </c>
      <c r="C25">
        <v>2.1970000000000001</v>
      </c>
      <c r="D25">
        <v>2.2309999999999999</v>
      </c>
      <c r="E25">
        <v>2.1680000000000001</v>
      </c>
      <c r="F25">
        <v>2.3010000000000002</v>
      </c>
      <c r="G25">
        <v>2.7730000000000001</v>
      </c>
      <c r="H25">
        <v>5.2729999999999997</v>
      </c>
      <c r="I25">
        <v>1.7509999999999999</v>
      </c>
      <c r="J25">
        <v>1.8420000000000001</v>
      </c>
    </row>
    <row r="26" spans="1:10">
      <c r="A26" t="s">
        <v>485</v>
      </c>
      <c r="B26">
        <v>1.046</v>
      </c>
      <c r="C26">
        <v>1.1970000000000001</v>
      </c>
      <c r="D26">
        <v>1.2310000000000001</v>
      </c>
      <c r="E26">
        <v>1.1679999999999999</v>
      </c>
      <c r="F26">
        <v>1.3009999999999999</v>
      </c>
      <c r="G26">
        <v>1.7729999999999999</v>
      </c>
      <c r="H26">
        <v>4.2729999999999997</v>
      </c>
      <c r="I26">
        <v>0.751</v>
      </c>
      <c r="J26">
        <v>0.84199999999999997</v>
      </c>
    </row>
    <row r="27" spans="1:10">
      <c r="B27" s="172"/>
      <c r="C27" s="172"/>
      <c r="D27" s="172"/>
      <c r="E27" s="172"/>
      <c r="F27" s="172"/>
      <c r="G27" s="172"/>
      <c r="H27" s="172"/>
      <c r="I27" s="172"/>
      <c r="J27" s="172"/>
    </row>
    <row r="28" spans="1:10">
      <c r="A28" t="s">
        <v>486</v>
      </c>
      <c r="B28">
        <v>216.1</v>
      </c>
      <c r="C28">
        <v>193.7</v>
      </c>
      <c r="D28">
        <v>201.5</v>
      </c>
      <c r="E28">
        <v>179.7</v>
      </c>
      <c r="F28">
        <v>178.9</v>
      </c>
      <c r="G28">
        <v>151.30000000000001</v>
      </c>
      <c r="H28">
        <v>144.4</v>
      </c>
      <c r="I28">
        <v>162</v>
      </c>
      <c r="J28" t="s">
        <v>476</v>
      </c>
    </row>
    <row r="29" spans="1:10">
      <c r="A29" t="s">
        <v>487</v>
      </c>
      <c r="B29">
        <v>63.29</v>
      </c>
      <c r="C29">
        <v>56.6</v>
      </c>
      <c r="D29">
        <v>52.38</v>
      </c>
      <c r="E29">
        <v>39.450000000000003</v>
      </c>
      <c r="F29">
        <v>38.03</v>
      </c>
      <c r="G29">
        <v>34.630000000000003</v>
      </c>
      <c r="H29">
        <v>36.22</v>
      </c>
      <c r="I29">
        <v>41.08</v>
      </c>
      <c r="J29">
        <v>39.89</v>
      </c>
    </row>
    <row r="30" spans="1:10">
      <c r="A30" t="s">
        <v>488</v>
      </c>
      <c r="B30">
        <v>70.349999999999994</v>
      </c>
      <c r="C30">
        <v>64.959999999999994</v>
      </c>
      <c r="D30">
        <v>71.2</v>
      </c>
      <c r="E30">
        <v>71.48</v>
      </c>
      <c r="F30">
        <v>75.209999999999994</v>
      </c>
      <c r="G30">
        <v>71.34</v>
      </c>
      <c r="H30">
        <v>67.569999999999993</v>
      </c>
      <c r="I30">
        <v>67.05</v>
      </c>
      <c r="J30">
        <v>62.04</v>
      </c>
    </row>
    <row r="31" spans="1:10">
      <c r="A31" s="173" t="s">
        <v>489</v>
      </c>
      <c r="B31">
        <v>1.6659999999999999</v>
      </c>
      <c r="C31">
        <v>1.859</v>
      </c>
      <c r="D31">
        <v>1.786</v>
      </c>
      <c r="E31">
        <v>2.0030000000000001</v>
      </c>
      <c r="F31">
        <v>2.012</v>
      </c>
      <c r="G31">
        <v>2.379</v>
      </c>
      <c r="H31">
        <v>2.4940000000000002</v>
      </c>
      <c r="I31">
        <v>2.222</v>
      </c>
      <c r="J31" t="s">
        <v>476</v>
      </c>
    </row>
    <row r="32" spans="1:10">
      <c r="A32" t="s">
        <v>490</v>
      </c>
      <c r="B32">
        <v>5.6879999999999997</v>
      </c>
      <c r="C32">
        <v>6.3609999999999998</v>
      </c>
      <c r="D32">
        <v>6.8730000000000002</v>
      </c>
      <c r="E32">
        <v>9.125</v>
      </c>
      <c r="F32">
        <v>9.4659999999999993</v>
      </c>
      <c r="G32">
        <v>10.39</v>
      </c>
      <c r="H32">
        <v>9.9380000000000006</v>
      </c>
      <c r="I32">
        <v>8.7629999999999999</v>
      </c>
      <c r="J32">
        <v>9.0250000000000004</v>
      </c>
    </row>
    <row r="33" spans="1:10">
      <c r="A33" t="s">
        <v>491</v>
      </c>
      <c r="B33">
        <v>5.117</v>
      </c>
      <c r="C33">
        <v>5.5419999999999998</v>
      </c>
      <c r="D33">
        <v>5.056</v>
      </c>
      <c r="E33">
        <v>5.0359999999999996</v>
      </c>
      <c r="F33">
        <v>4.7869999999999999</v>
      </c>
      <c r="G33">
        <v>5.0460000000000003</v>
      </c>
      <c r="H33">
        <v>5.3280000000000003</v>
      </c>
      <c r="I33">
        <v>5.3689999999999998</v>
      </c>
      <c r="J33">
        <v>5.8029999999999999</v>
      </c>
    </row>
    <row r="35" spans="1:10">
      <c r="A35" s="174" t="s">
        <v>492</v>
      </c>
    </row>
    <row r="36" spans="1:10">
      <c r="A36" s="56" t="s">
        <v>493</v>
      </c>
    </row>
    <row r="37" spans="1:10">
      <c r="A37" s="44"/>
    </row>
    <row r="38" spans="1:10">
      <c r="A38" s="40" t="s">
        <v>205</v>
      </c>
    </row>
    <row r="39" spans="1:10">
      <c r="A39" s="40" t="s">
        <v>206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J16"/>
  <sheetViews>
    <sheetView workbookViewId="0">
      <selection activeCell="B105" sqref="B105"/>
    </sheetView>
  </sheetViews>
  <sheetFormatPr baseColWidth="10" defaultRowHeight="16"/>
  <cols>
    <col min="1" max="1" width="27.6640625" bestFit="1" customWidth="1"/>
    <col min="2" max="2" width="10.6640625" bestFit="1" customWidth="1"/>
  </cols>
  <sheetData>
    <row r="1" spans="1:10">
      <c r="A1" t="s">
        <v>462</v>
      </c>
      <c r="B1" s="172">
        <v>45382</v>
      </c>
      <c r="C1" s="172">
        <v>45291</v>
      </c>
      <c r="D1" s="172">
        <v>45199</v>
      </c>
      <c r="E1" s="172">
        <v>45107</v>
      </c>
      <c r="F1" s="172">
        <v>45016</v>
      </c>
      <c r="G1" s="172">
        <v>44926</v>
      </c>
      <c r="H1" s="172">
        <v>44834</v>
      </c>
      <c r="I1" s="172">
        <v>44742</v>
      </c>
      <c r="J1" s="172">
        <v>44651</v>
      </c>
    </row>
    <row r="2" spans="1:10">
      <c r="A2" t="s">
        <v>494</v>
      </c>
      <c r="B2">
        <v>1187</v>
      </c>
      <c r="C2">
        <v>1475</v>
      </c>
      <c r="D2">
        <v>1220</v>
      </c>
      <c r="E2">
        <v>1009</v>
      </c>
      <c r="F2">
        <v>1059</v>
      </c>
      <c r="G2">
        <v>1508</v>
      </c>
      <c r="H2">
        <v>1358</v>
      </c>
      <c r="I2">
        <v>1202</v>
      </c>
      <c r="J2">
        <v>1051</v>
      </c>
    </row>
    <row r="3" spans="1:10">
      <c r="A3" t="s">
        <v>495</v>
      </c>
      <c r="B3">
        <v>90.66</v>
      </c>
      <c r="C3">
        <v>122.1</v>
      </c>
      <c r="D3">
        <v>113.4</v>
      </c>
      <c r="E3">
        <v>70.36</v>
      </c>
      <c r="F3">
        <v>77.95</v>
      </c>
      <c r="G3">
        <v>121.8</v>
      </c>
      <c r="H3">
        <v>103.4</v>
      </c>
      <c r="I3">
        <v>75.37</v>
      </c>
      <c r="J3">
        <v>71.14</v>
      </c>
    </row>
    <row r="4" spans="1:10">
      <c r="A4" t="s">
        <v>496</v>
      </c>
      <c r="B4">
        <v>41.85</v>
      </c>
      <c r="C4">
        <v>75.55</v>
      </c>
      <c r="D4">
        <v>63.24</v>
      </c>
      <c r="E4">
        <v>40.33</v>
      </c>
      <c r="F4">
        <v>31.28</v>
      </c>
      <c r="G4">
        <v>82.77</v>
      </c>
      <c r="H4">
        <v>49.24</v>
      </c>
      <c r="I4">
        <v>36.159999999999997</v>
      </c>
      <c r="J4">
        <v>32.56</v>
      </c>
    </row>
    <row r="5" spans="1:10">
      <c r="A5" t="s">
        <v>497</v>
      </c>
      <c r="B5">
        <v>42.72</v>
      </c>
      <c r="C5">
        <v>66.760000000000005</v>
      </c>
      <c r="D5">
        <v>59.96</v>
      </c>
      <c r="E5">
        <v>43.3</v>
      </c>
      <c r="F5">
        <v>32.07</v>
      </c>
      <c r="G5">
        <v>70.63</v>
      </c>
      <c r="H5">
        <v>49.75</v>
      </c>
      <c r="I5">
        <v>32.72</v>
      </c>
      <c r="J5">
        <v>31</v>
      </c>
    </row>
    <row r="6" spans="1:10">
      <c r="A6" t="s">
        <v>467</v>
      </c>
      <c r="B6">
        <v>12.09</v>
      </c>
      <c r="C6">
        <v>-2.15</v>
      </c>
      <c r="D6">
        <v>-10.15</v>
      </c>
      <c r="E6">
        <v>-16.07</v>
      </c>
      <c r="F6">
        <v>0.79</v>
      </c>
      <c r="G6">
        <v>12.34</v>
      </c>
      <c r="H6">
        <v>24.24</v>
      </c>
      <c r="I6">
        <v>23.09</v>
      </c>
      <c r="J6">
        <v>6.79</v>
      </c>
    </row>
    <row r="7" spans="1:10">
      <c r="A7" t="s">
        <v>468</v>
      </c>
      <c r="B7">
        <v>33.770000000000003</v>
      </c>
      <c r="C7">
        <v>-8.7200000000000006</v>
      </c>
      <c r="D7">
        <v>28.42</v>
      </c>
      <c r="E7">
        <v>11.53</v>
      </c>
      <c r="F7">
        <v>-3.91</v>
      </c>
      <c r="G7">
        <v>-8.06</v>
      </c>
      <c r="H7">
        <v>15.05</v>
      </c>
      <c r="I7">
        <v>2.2000000000000002</v>
      </c>
      <c r="J7">
        <v>2.11</v>
      </c>
    </row>
    <row r="8" spans="1:10">
      <c r="A8" t="s">
        <v>469</v>
      </c>
      <c r="B8">
        <v>33.22</v>
      </c>
      <c r="C8">
        <v>-5.49</v>
      </c>
      <c r="D8">
        <v>20.54</v>
      </c>
      <c r="E8">
        <v>32.31</v>
      </c>
      <c r="F8">
        <v>3.44</v>
      </c>
      <c r="G8">
        <v>-15.32</v>
      </c>
      <c r="H8">
        <v>19.239999999999998</v>
      </c>
      <c r="I8">
        <v>2.23</v>
      </c>
      <c r="J8">
        <v>8.15</v>
      </c>
    </row>
    <row r="9" spans="1:10">
      <c r="A9" t="s">
        <v>498</v>
      </c>
      <c r="B9">
        <v>-19.55</v>
      </c>
      <c r="C9">
        <v>20.88</v>
      </c>
      <c r="D9">
        <v>20.97</v>
      </c>
      <c r="E9">
        <v>-4.72</v>
      </c>
      <c r="F9">
        <v>-29.77</v>
      </c>
      <c r="G9">
        <v>11</v>
      </c>
      <c r="H9">
        <v>13</v>
      </c>
      <c r="I9">
        <v>14.41</v>
      </c>
      <c r="J9">
        <v>-21.71</v>
      </c>
    </row>
    <row r="10" spans="1:10">
      <c r="A10" t="s">
        <v>499</v>
      </c>
      <c r="B10">
        <v>-44.61</v>
      </c>
      <c r="C10">
        <v>19.48</v>
      </c>
      <c r="D10">
        <v>56.81</v>
      </c>
      <c r="E10">
        <v>28.91</v>
      </c>
      <c r="F10">
        <v>-62.2</v>
      </c>
      <c r="G10">
        <v>68.09</v>
      </c>
      <c r="H10">
        <v>36.19</v>
      </c>
      <c r="I10">
        <v>11.06</v>
      </c>
      <c r="J10">
        <v>-63.84</v>
      </c>
    </row>
    <row r="11" spans="1:10">
      <c r="A11" t="s">
        <v>500</v>
      </c>
      <c r="B11">
        <v>-36.01</v>
      </c>
      <c r="C11">
        <v>11.33</v>
      </c>
      <c r="D11">
        <v>38.5</v>
      </c>
      <c r="E11">
        <v>35.020000000000003</v>
      </c>
      <c r="F11">
        <v>-54.6</v>
      </c>
      <c r="G11">
        <v>41.99</v>
      </c>
      <c r="H11">
        <v>52.02</v>
      </c>
      <c r="I11">
        <v>5.56</v>
      </c>
      <c r="J11">
        <v>-62.84</v>
      </c>
    </row>
    <row r="12" spans="1:10">
      <c r="B12" s="172"/>
      <c r="C12" s="172"/>
      <c r="D12" s="172"/>
      <c r="E12" s="172"/>
      <c r="F12" s="172"/>
      <c r="G12" s="172"/>
      <c r="H12" s="172"/>
      <c r="I12" s="172"/>
      <c r="J12" s="172"/>
    </row>
    <row r="13" spans="1:10">
      <c r="A13" t="s">
        <v>501</v>
      </c>
      <c r="B13">
        <v>2.93</v>
      </c>
      <c r="C13">
        <v>5.54</v>
      </c>
      <c r="D13">
        <v>4.88</v>
      </c>
      <c r="E13">
        <v>3.12</v>
      </c>
      <c r="F13">
        <v>2.4</v>
      </c>
      <c r="G13">
        <v>6.63</v>
      </c>
      <c r="H13">
        <v>4.16</v>
      </c>
      <c r="I13">
        <v>3.03</v>
      </c>
      <c r="J13">
        <v>2.69</v>
      </c>
    </row>
    <row r="14" spans="1:10">
      <c r="A14" t="s">
        <v>502</v>
      </c>
      <c r="B14">
        <v>1.49</v>
      </c>
      <c r="C14">
        <v>2.69</v>
      </c>
      <c r="D14">
        <v>2.34</v>
      </c>
      <c r="E14">
        <v>1.53</v>
      </c>
      <c r="F14">
        <v>1.1499999999999999</v>
      </c>
      <c r="G14">
        <v>2.85</v>
      </c>
      <c r="H14">
        <v>1.7</v>
      </c>
      <c r="I14">
        <v>1.32</v>
      </c>
      <c r="J14">
        <v>1.22</v>
      </c>
    </row>
    <row r="15" spans="1:10">
      <c r="A15" t="s">
        <v>473</v>
      </c>
      <c r="B15">
        <v>7.64</v>
      </c>
      <c r="C15">
        <v>8.2799999999999994</v>
      </c>
      <c r="D15">
        <v>9.2899999999999991</v>
      </c>
      <c r="E15">
        <v>6.97</v>
      </c>
      <c r="F15">
        <v>7.36</v>
      </c>
      <c r="G15">
        <v>8.08</v>
      </c>
      <c r="H15">
        <v>7.61</v>
      </c>
      <c r="I15">
        <v>6.27</v>
      </c>
      <c r="J15">
        <v>6.77</v>
      </c>
    </row>
    <row r="16" spans="1:10">
      <c r="A16" t="s">
        <v>474</v>
      </c>
      <c r="B16">
        <v>3.53</v>
      </c>
      <c r="C16">
        <v>5.0999999999999996</v>
      </c>
      <c r="D16">
        <v>5.19</v>
      </c>
      <c r="E16">
        <v>4</v>
      </c>
      <c r="F16">
        <v>2.95</v>
      </c>
      <c r="G16">
        <v>5.49</v>
      </c>
      <c r="H16">
        <v>3.63</v>
      </c>
      <c r="I16">
        <v>3.02</v>
      </c>
      <c r="J16">
        <v>3.1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工业富联资产负债表</vt:lpstr>
      <vt:lpstr>工业富联利润表</vt:lpstr>
      <vt:lpstr>工业富联现金流量表</vt:lpstr>
      <vt:lpstr>工业富联资产负债变动表</vt:lpstr>
      <vt:lpstr>罗杰斯分析表</vt:lpstr>
      <vt:lpstr>工业富联资产负债变动明细表</vt:lpstr>
      <vt:lpstr>资产变化路径表7年</vt:lpstr>
      <vt:lpstr>资产变化路径表5年</vt:lpstr>
      <vt:lpstr>资产变化路径表-亿元7年</vt:lpstr>
      <vt:lpstr>资产变化路径表-亿元5年</vt:lpstr>
      <vt:lpstr>资产变化路径表 (2023)-亿元</vt:lpstr>
      <vt:lpstr>资产变化路径表 (2022)-亿元</vt:lpstr>
      <vt:lpstr>资产变化路径表 (2021)-亿元</vt:lpstr>
      <vt:lpstr>总结 </vt:lpstr>
      <vt:lpstr>工业富联东财年度指标</vt:lpstr>
      <vt:lpstr>东财季度指标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Wang</dc:creator>
  <cp:lastModifiedBy>Shan Wang</cp:lastModifiedBy>
  <dcterms:created xsi:type="dcterms:W3CDTF">2024-05-10T00:52:49Z</dcterms:created>
  <dcterms:modified xsi:type="dcterms:W3CDTF">2026-03-29T11:34:11Z</dcterms:modified>
</cp:coreProperties>
</file>